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1. 2026\"/>
    </mc:Choice>
  </mc:AlternateContent>
  <xr:revisionPtr revIDLastSave="0" documentId="13_ncr:1_{F2B3C75D-A13D-4D40-ADDF-EAFF36442AA8}" xr6:coauthVersionLast="47" xr6:coauthVersionMax="47" xr10:uidLastSave="{00000000-0000-0000-0000-000000000000}"/>
  <bookViews>
    <workbookView xWindow="-108" yWindow="-108" windowWidth="23256" windowHeight="12456" activeTab="1" xr2:uid="{00000000-000D-0000-FFFF-FFFF00000000}"/>
  </bookViews>
  <sheets>
    <sheet name="DỰ TOÁN" sheetId="2" r:id="rId1"/>
    <sheet name="DASHBOARD" sheetId="3" r:id="rId2"/>
  </sheets>
  <calcPr calcId="181029"/>
  <extLst>
    <ext uri="GoogleSheetsCustomDataVersion2">
      <go:sheetsCustomData xmlns:go="http://customooxmlschemas.google.com/" r:id="rId6" roundtripDataChecksum="dSI5MuLJBt+YQ0NPLy1y8UrrkdXf9neslSFljBO8CG8="/>
    </ext>
  </extLst>
</workbook>
</file>

<file path=xl/calcChain.xml><?xml version="1.0" encoding="utf-8"?>
<calcChain xmlns="http://schemas.openxmlformats.org/spreadsheetml/2006/main">
  <c r="AY18" i="3" l="1"/>
  <c r="AY17" i="3"/>
  <c r="AX19" i="3"/>
  <c r="AY16" i="3" s="1"/>
  <c r="AU19" i="3"/>
  <c r="AV17" i="3" s="1"/>
  <c r="W18" i="3"/>
  <c r="V20" i="3"/>
  <c r="W17" i="3" s="1"/>
  <c r="G43" i="2"/>
  <c r="G42" i="2"/>
  <c r="G41" i="2"/>
  <c r="D34" i="2"/>
  <c r="D33" i="2"/>
  <c r="G33" i="2" s="1"/>
  <c r="D32" i="2"/>
  <c r="G32" i="2" s="1"/>
  <c r="G26" i="2"/>
  <c r="G23" i="2"/>
  <c r="D25" i="2"/>
  <c r="G25" i="2" s="1"/>
  <c r="D24" i="2"/>
  <c r="G24" i="2" s="1"/>
  <c r="D22" i="2"/>
  <c r="F14" i="2"/>
  <c r="F13" i="2"/>
  <c r="D31" i="2"/>
  <c r="D28" i="2"/>
  <c r="D35" i="2"/>
  <c r="W19" i="3" l="1"/>
  <c r="W16" i="3"/>
  <c r="AV18" i="3"/>
  <c r="AV16" i="3"/>
  <c r="C16" i="2"/>
  <c r="C55" i="2"/>
  <c r="D29" i="2"/>
  <c r="G29" i="2" s="1"/>
  <c r="G28" i="2"/>
  <c r="G22" i="2"/>
  <c r="G31" i="2"/>
  <c r="G48" i="2"/>
  <c r="G47" i="2"/>
  <c r="G35" i="2"/>
  <c r="G38" i="2"/>
  <c r="D51" i="2"/>
  <c r="G51" i="2" s="1"/>
  <c r="G50" i="2"/>
  <c r="G49" i="2"/>
  <c r="D46" i="2"/>
  <c r="G46" i="2" s="1"/>
  <c r="E55" i="2" l="1"/>
  <c r="G52" i="2"/>
  <c r="E56" i="2"/>
  <c r="F56" i="2" s="1"/>
  <c r="G56" i="2" s="1"/>
  <c r="D55" i="2"/>
  <c r="C57" i="2"/>
  <c r="F55" i="2" l="1"/>
  <c r="F57" i="2" s="1"/>
  <c r="E57" i="2"/>
  <c r="D57" i="2"/>
  <c r="G55" i="2" l="1"/>
  <c r="G57" i="2" l="1"/>
  <c r="C17" i="2" s="1"/>
  <c r="D16" i="2" s="1"/>
  <c r="G58" i="2" l="1"/>
  <c r="D1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H13" authorId="0" shapeId="0" xr:uid="{22255741-3144-4731-A7B5-DDCAF437EAB0}">
      <text>
        <r>
          <rPr>
            <b/>
            <sz val="9"/>
            <color indexed="81"/>
            <rFont val="Tahoma"/>
            <family val="2"/>
          </rPr>
          <t>CÓ THỂ CLICK CHỌN TOUR/ SỰ KIỆN/ VÉ LẺ/ XE CHO THUÊ
=&gt; Links đến DASH BOARD 3</t>
        </r>
      </text>
    </comment>
    <comment ref="H15" authorId="0" shapeId="0" xr:uid="{E0F8678F-1504-4EC5-87B9-B2ACA9D97963}">
      <text>
        <r>
          <rPr>
            <b/>
            <sz val="9"/>
            <color indexed="81"/>
            <rFont val="Tahoma"/>
            <family val="2"/>
          </rPr>
          <t>CÓ CLICK CHỌN: NỘI ĐỊA/ INBOUND/ OUTBOUD
=&gt; Links đến DASH BOARD 6</t>
        </r>
      </text>
    </comment>
    <comment ref="B21" authorId="0" shapeId="0" xr:uid="{BC08A192-754D-455B-B4A1-8EECA724B0E3}">
      <text>
        <r>
          <rPr>
            <b/>
            <sz val="9"/>
            <color indexed="81"/>
            <rFont val="Tahoma"/>
            <charset val="1"/>
          </rPr>
          <t>ĐI ĐẾN TRƯỜNG THÔNG TIN VÉ CÓ ĐẦY ĐỦ VÉ THAM QUAN</t>
        </r>
      </text>
    </comment>
    <comment ref="B22" authorId="0" shapeId="0" xr:uid="{5A926B45-B67B-4634-AD7E-7787D74D394C}">
      <text>
        <r>
          <rPr>
            <b/>
            <sz val="9"/>
            <color indexed="81"/>
            <rFont val="Tahoma"/>
            <charset val="1"/>
          </rPr>
          <t>Trường thông tin vé này, có thể để Vé người lớn và Insert vé trẻ em (nếu việc lập list thông tin các đối tượng NL/TE vé phức tạp)</t>
        </r>
      </text>
    </comment>
    <comment ref="H22" authorId="0" shapeId="0" xr:uid="{E72AFBA3-A0F1-4268-AFF0-BE80AE7E46ED}">
      <text>
        <r>
          <rPr>
            <b/>
            <sz val="9"/>
            <color indexed="81"/>
            <rFont val="Tahoma"/>
            <family val="2"/>
          </rPr>
          <t xml:space="preserve">Có thể click chọn =&gt; Links đến DASHBOARD 1 = LỊCH TỔNG THÁNG
</t>
        </r>
      </text>
    </comment>
    <comment ref="C28" authorId="0" shapeId="0" xr:uid="{EA2ACD53-C019-43E3-AB69-AFC087FEFBB0}">
      <text>
        <r>
          <rPr>
            <b/>
            <sz val="9"/>
            <color indexed="81"/>
            <rFont val="Tahoma"/>
            <charset val="1"/>
          </rPr>
          <t>Có thể link đến Trường thông tin: CÁC TỈNH</t>
        </r>
      </text>
    </comment>
    <comment ref="D28" authorId="0" shapeId="0" xr:uid="{EB7E5F00-4458-4FD6-A447-F96B993AE94D}">
      <text>
        <r>
          <rPr>
            <b/>
            <sz val="9"/>
            <color indexed="81"/>
            <rFont val="Tahoma"/>
            <charset val="1"/>
          </rPr>
          <t xml:space="preserve">Có 3 công thức:
Phòng 2 khách: Số lượng/2
Phòng 3 khách/ Số lượng/3
Phòng 1 khách hoặc đặc biệt =&gt; Có thể Insert
</t>
        </r>
      </text>
    </comment>
    <comment ref="C31" authorId="0" shapeId="0" xr:uid="{4EB0F543-A747-4FAF-AAB8-687E2EC4324A}">
      <text>
        <r>
          <rPr>
            <b/>
            <sz val="9"/>
            <color indexed="81"/>
            <rFont val="Tahoma"/>
            <charset val="1"/>
          </rPr>
          <t xml:space="preserve">Có thể Links đến Trường thông tin TÊN NHÀ CUNG CẤP NHÀ HÀNG
</t>
        </r>
      </text>
    </comment>
    <comment ref="D31" authorId="0" shapeId="0" xr:uid="{2EF12B19-D715-4065-933A-AB31E2D4815F}">
      <text>
        <r>
          <rPr>
            <b/>
            <sz val="9"/>
            <color indexed="81"/>
            <rFont val="Tahoma"/>
            <charset val="1"/>
          </rPr>
          <t xml:space="preserve">Links đến số lượng NL ở đầu
</t>
        </r>
      </text>
    </comment>
    <comment ref="D32" authorId="0" shapeId="0" xr:uid="{86A2B51E-E602-4984-8E6D-775F1A2CF34B}">
      <text>
        <r>
          <rPr>
            <b/>
            <sz val="9"/>
            <color indexed="81"/>
            <rFont val="Tahoma"/>
            <charset val="1"/>
          </rPr>
          <t xml:space="preserve">Links đến số lượng trẻ em 70%
</t>
        </r>
      </text>
    </comment>
    <comment ref="D33" authorId="0" shapeId="0" xr:uid="{67B9A071-B514-4B83-8F6F-87E0520503C1}">
      <text>
        <r>
          <rPr>
            <b/>
            <sz val="9"/>
            <color indexed="81"/>
            <rFont val="Tahoma"/>
            <charset val="1"/>
          </rPr>
          <t xml:space="preserve">Links đến số lượng trẻ em 50%
</t>
        </r>
      </text>
    </comment>
    <comment ref="D34" authorId="0" shapeId="0" xr:uid="{D8D29882-DD15-4611-AB97-60AD641820E0}">
      <text>
        <r>
          <rPr>
            <b/>
            <sz val="9"/>
            <color indexed="81"/>
            <rFont val="Tahoma"/>
            <charset val="1"/>
          </rPr>
          <t xml:space="preserve">Links đến số lượng trẻ em Miễn phí =&gt; Vì cũng có thể phải đặt ăn cho trẻ
</t>
        </r>
      </text>
    </comment>
    <comment ref="C35" authorId="0" shapeId="0" xr:uid="{CD6340C7-5888-46B5-A34C-EC28633E369F}">
      <text>
        <r>
          <rPr>
            <b/>
            <sz val="9"/>
            <color indexed="81"/>
            <rFont val="Tahoma"/>
            <charset val="1"/>
          </rPr>
          <t>Công thức như NH ở trên/ Các nhà hàng tiếp theo có thể đẻ INSERT</t>
        </r>
      </text>
    </comment>
    <comment ref="B37" authorId="0" shapeId="0" xr:uid="{9CB084BD-D79C-4BF3-88F7-3D023793EAB2}">
      <text>
        <r>
          <rPr>
            <b/>
            <sz val="9"/>
            <color indexed="81"/>
            <rFont val="Tahoma"/>
            <charset val="1"/>
          </rPr>
          <t>Có thể INSERT thêm vì 1 đoàn có thể đặt 2 nhà cung cấp xe</t>
        </r>
      </text>
    </comment>
    <comment ref="B38" authorId="0" shapeId="0" xr:uid="{520BC56E-DE76-4453-83A4-FC54770E52DB}">
      <text>
        <r>
          <rPr>
            <b/>
            <sz val="9"/>
            <color indexed="81"/>
            <rFont val="Tahoma"/>
            <charset val="1"/>
          </rPr>
          <t>Links đến Trường thông tin các loại xe từ 7 chỗ đến 45 chỗ</t>
        </r>
      </text>
    </comment>
    <comment ref="C38" authorId="0" shapeId="0" xr:uid="{2404BDA7-E8B8-4555-8289-31D000EC1129}">
      <text>
        <r>
          <rPr>
            <b/>
            <sz val="9"/>
            <color indexed="81"/>
            <rFont val="Tahoma"/>
            <charset val="1"/>
          </rPr>
          <t>Links đến trường thông tin NHÀ CUNG CẤP XE</t>
        </r>
      </text>
    </comment>
    <comment ref="D38" authorId="0" shapeId="0" xr:uid="{C6EB304B-D256-4D84-BEE6-0AA45CC3E837}">
      <text>
        <r>
          <rPr>
            <b/>
            <sz val="9"/>
            <color indexed="81"/>
            <rFont val="Tahoma"/>
            <charset val="1"/>
          </rPr>
          <t xml:space="preserve">CÓ THỂ TĂNG LÊN 1,2,3...CHIẾC nếu đoàn đông
</t>
        </r>
      </text>
    </comment>
    <comment ref="B40" authorId="0" shapeId="0" xr:uid="{0CA4F30E-485F-4FDA-B2EF-CE1BFEB4558C}">
      <text>
        <r>
          <rPr>
            <b/>
            <sz val="9"/>
            <color indexed="81"/>
            <rFont val="Tahoma"/>
            <charset val="1"/>
          </rPr>
          <t xml:space="preserve">Có thể ĐỂ Ô TRỐNG CHO Sales và Điều hành nhập =&gt; Do các dịch vụ này không phát sinh thường xuyên và có biển số
</t>
        </r>
      </text>
    </comment>
    <comment ref="B41" authorId="0" shapeId="0" xr:uid="{3D184D0E-7ABC-48B4-ADD4-26BFA539374E}">
      <text>
        <r>
          <rPr>
            <b/>
            <sz val="9"/>
            <color indexed="81"/>
            <rFont val="Tahoma"/>
            <charset val="1"/>
          </rPr>
          <t xml:space="preserve">Có thể INSERT vì GALA có nhiều dịch vụ cho tiết </t>
        </r>
      </text>
    </comment>
    <comment ref="B42" authorId="0" shapeId="0" xr:uid="{FDCCBB81-663E-4329-BBA7-3388A202E2ED}">
      <text>
        <r>
          <rPr>
            <b/>
            <sz val="9"/>
            <color indexed="81"/>
            <rFont val="Tahoma"/>
            <charset val="1"/>
          </rPr>
          <t xml:space="preserve">Tương tự trên có thể Insert
</t>
        </r>
      </text>
    </comment>
    <comment ref="B43" authorId="0" shapeId="0" xr:uid="{F7590824-1010-4421-B967-8F122745E1B2}">
      <text>
        <r>
          <rPr>
            <b/>
            <sz val="9"/>
            <color indexed="81"/>
            <rFont val="Tahoma"/>
            <charset val="1"/>
          </rPr>
          <t>Tương tự trên có thể Insert</t>
        </r>
      </text>
    </comment>
    <comment ref="B45" authorId="0" shapeId="0" xr:uid="{03974B6F-EBA0-49B3-8F3A-B8D70C31F111}">
      <text>
        <r>
          <rPr>
            <b/>
            <sz val="9"/>
            <color indexed="81"/>
            <rFont val="Tahoma"/>
            <charset val="1"/>
          </rPr>
          <t>Có thể INSERT</t>
        </r>
      </text>
    </comment>
    <comment ref="D45" authorId="0" shapeId="0" xr:uid="{8EB521DF-67FE-499A-8862-C9BAD2DADAF7}">
      <text>
        <r>
          <rPr>
            <b/>
            <sz val="9"/>
            <color indexed="81"/>
            <rFont val="Tahoma"/>
            <charset val="1"/>
          </rPr>
          <t xml:space="preserve">Đối với hàng số lượng có thể đặt LINKS đến số lượng, haowcj TÙY CHỌN khác để tự nhập số lượng, vì danh mục này có thể đặt ít hơn số lương
</t>
        </r>
      </text>
    </comment>
    <comment ref="E45" authorId="0" shapeId="0" xr:uid="{34A243BA-0A29-434E-8764-7EF49256AE60}">
      <text>
        <r>
          <rPr>
            <b/>
            <sz val="9"/>
            <color indexed="81"/>
            <rFont val="Tahoma"/>
            <charset val="1"/>
          </rPr>
          <t xml:space="preserve">Số lần có thể để 1,2,3,4...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AD4" authorId="0" shapeId="0" xr:uid="{1872CFD7-5EBE-403F-8202-D913036853C9}">
      <text>
        <r>
          <rPr>
            <b/>
            <sz val="9"/>
            <color indexed="81"/>
            <rFont val="Tahoma"/>
            <family val="2"/>
          </rPr>
          <t xml:space="preserve">Links tên KHÁCH HÀNG KHI LẬP DỰ TOÁN
</t>
        </r>
      </text>
    </comment>
    <comment ref="AE4" authorId="0" shapeId="0" xr:uid="{A2D79E00-70D3-454A-81A7-559915FB344B}">
      <text>
        <r>
          <rPr>
            <b/>
            <sz val="9"/>
            <color indexed="81"/>
            <rFont val="Tahoma"/>
            <family val="2"/>
          </rPr>
          <t>Links doanh thu cuối cùng của quyết toán các Tháng</t>
        </r>
      </text>
    </comment>
    <comment ref="AM4" authorId="0" shapeId="0" xr:uid="{F918BB83-F9BA-4894-9B54-0843993FFAC9}">
      <text>
        <r>
          <rPr>
            <b/>
            <sz val="9"/>
            <color indexed="81"/>
            <rFont val="Tahoma"/>
            <family val="2"/>
          </rPr>
          <t xml:space="preserve">Links tên NHÀ CUNG CẤP theo quyết toán
</t>
        </r>
      </text>
    </comment>
    <comment ref="AN4" authorId="0" shapeId="0" xr:uid="{B43785F7-9EAA-423A-81A2-529C4A42B187}">
      <text>
        <r>
          <rPr>
            <b/>
            <sz val="9"/>
            <color indexed="81"/>
            <rFont val="Tahoma"/>
            <family val="2"/>
          </rPr>
          <t>Links CHI PHÍ cuối cùng của quyết toán các Tháng đối với từng nhà cung cấp</t>
        </r>
      </text>
    </comment>
    <comment ref="AE5" authorId="0" shapeId="0" xr:uid="{8C969595-1DE8-44B3-80CC-D478EF928F0C}">
      <text>
        <r>
          <rPr>
            <b/>
            <sz val="9"/>
            <color indexed="81"/>
            <rFont val="Tahoma"/>
            <family val="2"/>
          </rPr>
          <t xml:space="preserve">LỢI NHUẬN THEO QUYẾT TOÁN các tháng
</t>
        </r>
      </text>
    </comment>
    <comment ref="AM6" authorId="0" shapeId="0" xr:uid="{61ACEB09-EA50-43EA-962E-7759E466A3BC}">
      <text>
        <r>
          <rPr>
            <b/>
            <sz val="9"/>
            <color indexed="81"/>
            <rFont val="Tahoma"/>
            <family val="2"/>
          </rPr>
          <t xml:space="preserve">Links tên NHÀ CUNG CẤP theo quyết toán
</t>
        </r>
      </text>
    </comment>
    <comment ref="AN6" authorId="0" shapeId="0" xr:uid="{B8312D35-A2B2-4428-B104-75B4A04451F8}">
      <text>
        <r>
          <rPr>
            <b/>
            <sz val="9"/>
            <color indexed="81"/>
            <rFont val="Tahoma"/>
            <family val="2"/>
          </rPr>
          <t>Links CHI PHÍ cuối cùng của quyết toán các Tháng đối với từng nhà cung cấp</t>
        </r>
      </text>
    </comment>
    <comment ref="B7" authorId="0" shapeId="0" xr:uid="{DDEBDEFC-0819-4D80-BAE0-6879894724CD}">
      <text>
        <r>
          <rPr>
            <b/>
            <sz val="9"/>
            <color indexed="81"/>
            <rFont val="Tahoma"/>
            <charset val="1"/>
          </rPr>
          <t xml:space="preserve">Tỷ lệ hoàn thành công việc (màu xanh)
Nếu không thể hiện được màu bên ngoài thì có thể kích vào xem cũng được
</t>
        </r>
      </text>
    </comment>
    <comment ref="E7" authorId="0" shapeId="0" xr:uid="{B04B6663-D0BB-4830-A2D9-9BD08C1F908E}">
      <text>
        <r>
          <rPr>
            <b/>
            <sz val="9"/>
            <color indexed="81"/>
            <rFont val="Tahoma"/>
            <charset val="1"/>
          </rPr>
          <t xml:space="preserve">Tỷ lệ chưa hoàn thành công việc của Tour (màu vàng)
</t>
        </r>
      </text>
    </comment>
    <comment ref="AD7" authorId="0" shapeId="0" xr:uid="{76C611EC-BE6F-452F-AC8A-C7D26577859E}">
      <text>
        <r>
          <rPr>
            <b/>
            <sz val="9"/>
            <color indexed="81"/>
            <rFont val="Tahoma"/>
            <family val="2"/>
          </rPr>
          <t xml:space="preserve">Links tên KHÁCH HÀNG KHI LẬP DỰ TOÁN
</t>
        </r>
      </text>
    </comment>
    <comment ref="AE7" authorId="0" shapeId="0" xr:uid="{0F10D671-3552-440A-A3C9-9C5352A61439}">
      <text>
        <r>
          <rPr>
            <b/>
            <sz val="9"/>
            <color indexed="81"/>
            <rFont val="Tahoma"/>
            <family val="2"/>
          </rPr>
          <t>Links doanh thu cuối cùng của quyết toán các Tháng</t>
        </r>
      </text>
    </comment>
    <comment ref="AE8" authorId="0" shapeId="0" xr:uid="{F19ABAA6-962E-420C-A123-3906868BA94E}">
      <text>
        <r>
          <rPr>
            <b/>
            <sz val="9"/>
            <color indexed="81"/>
            <rFont val="Tahoma"/>
            <family val="2"/>
          </rPr>
          <t xml:space="preserve">LỢI NHUẬN THEO QUYẾT TOÁN các tháng
</t>
        </r>
      </text>
    </comment>
    <comment ref="AM8" authorId="0" shapeId="0" xr:uid="{A3C025ED-5A11-445D-B4D0-97EE543A2FFD}">
      <text>
        <r>
          <rPr>
            <b/>
            <sz val="9"/>
            <color indexed="81"/>
            <rFont val="Tahoma"/>
            <family val="2"/>
          </rPr>
          <t xml:space="preserve">Links tên NHÀ CUNG CẤP theo quyết toán
</t>
        </r>
      </text>
    </comment>
    <comment ref="AN8" authorId="0" shapeId="0" xr:uid="{86D1ECF1-262B-4862-B676-51EBD8D72D9A}">
      <text>
        <r>
          <rPr>
            <b/>
            <sz val="9"/>
            <color indexed="81"/>
            <rFont val="Tahoma"/>
            <family val="2"/>
          </rPr>
          <t>Links CHI PHÍ cuối cùng của quyết toán các Tháng đối với từng nhà cung cấp</t>
        </r>
      </text>
    </comment>
    <comment ref="M10" authorId="0" shapeId="0" xr:uid="{69F756DE-04AC-4B60-92A1-6FED1B341FF3}">
      <text>
        <r>
          <rPr>
            <b/>
            <sz val="9"/>
            <color indexed="81"/>
            <rFont val="Tahoma"/>
            <family val="2"/>
          </rPr>
          <t xml:space="preserve">tỷ lệ doanh thu hoàn thành/ chi tiêu
Sau khi Điều hành thực hiện xong Tour,con số quyết toàn tour của sales đó là số chính thức
</t>
        </r>
      </text>
    </comment>
    <comment ref="P10" authorId="0" shapeId="0" xr:uid="{25D8022F-857E-4FB8-8D5A-CB55FA462B48}">
      <text>
        <r>
          <rPr>
            <b/>
            <sz val="9"/>
            <color indexed="81"/>
            <rFont val="Tahoma"/>
            <family val="2"/>
          </rPr>
          <t xml:space="preserve">tỷ lệ doanh thu hoàn thành/ chi tiêu
Sau khi Điều hành thực hiện xong Tour,con số quyết toàn tour của sales đó là số chính thức
</t>
        </r>
      </text>
    </comment>
    <comment ref="S10" authorId="0" shapeId="0" xr:uid="{9B03F4C3-EBD8-4CB9-9EAA-D5AB56ADC5E9}">
      <text>
        <r>
          <rPr>
            <b/>
            <sz val="9"/>
            <color indexed="81"/>
            <rFont val="Tahoma"/>
            <family val="2"/>
          </rPr>
          <t xml:space="preserve">tỷ lệ doanh thu hoàn thành/ chi tiêu
Sau khi Điều hành thực hiện xong Tour,con số quyết toàn tour của sales đó là số chính thức
</t>
        </r>
      </text>
    </comment>
    <comment ref="AD10" authorId="0" shapeId="0" xr:uid="{94D15221-1D30-4EEB-878E-41C6E0C9EFC8}">
      <text>
        <r>
          <rPr>
            <b/>
            <sz val="9"/>
            <color indexed="81"/>
            <rFont val="Tahoma"/>
            <family val="2"/>
          </rPr>
          <t xml:space="preserve">Links tên KHÁCH HÀNG KHI LẬP DỰ TOÁN
</t>
        </r>
      </text>
    </comment>
    <comment ref="AE10" authorId="0" shapeId="0" xr:uid="{8AE7C5D1-482E-409D-8354-FBED7868C980}">
      <text>
        <r>
          <rPr>
            <b/>
            <sz val="9"/>
            <color indexed="81"/>
            <rFont val="Tahoma"/>
            <family val="2"/>
          </rPr>
          <t>Links doanh thu cuối cùng của quyết toán các Tháng</t>
        </r>
      </text>
    </comment>
    <comment ref="AE11" authorId="0" shapeId="0" xr:uid="{8F802335-362B-44B9-84D2-D19853E569D3}">
      <text>
        <r>
          <rPr>
            <b/>
            <sz val="9"/>
            <color indexed="81"/>
            <rFont val="Tahoma"/>
            <family val="2"/>
          </rPr>
          <t xml:space="preserve">LỢI NHUẬN THEO QUYẾT TOÁN các tháng
</t>
        </r>
      </text>
    </comment>
    <comment ref="AX15" authorId="0" shapeId="0" xr:uid="{34D831E0-77A2-4CFA-9F22-ECEEA46BAFB3}">
      <text>
        <r>
          <rPr>
            <b/>
            <sz val="9"/>
            <color indexed="81"/>
            <rFont val="Tahoma"/>
            <family val="2"/>
          </rPr>
          <t>Doanh thu bằng tương ứng với Thống kê thưo mảng ở Dashboard 3</t>
        </r>
      </text>
    </comment>
  </commentList>
</comments>
</file>

<file path=xl/sharedStrings.xml><?xml version="1.0" encoding="utf-8"?>
<sst xmlns="http://schemas.openxmlformats.org/spreadsheetml/2006/main" count="140" uniqueCount="132">
  <si>
    <t xml:space="preserve">DỰ TRÙ </t>
  </si>
  <si>
    <t>Thời gian:</t>
  </si>
  <si>
    <t>Số ngày:</t>
  </si>
  <si>
    <t>Đơn giá NL</t>
  </si>
  <si>
    <t>STT</t>
  </si>
  <si>
    <t xml:space="preserve">NỘI DUNG </t>
  </si>
  <si>
    <t>DIỄN GIẢI</t>
  </si>
  <si>
    <t>SL</t>
  </si>
  <si>
    <t>ĐVT</t>
  </si>
  <si>
    <t>ĐƠN GIÁ</t>
  </si>
  <si>
    <t>GIÁ TIỀN</t>
  </si>
  <si>
    <t>I</t>
  </si>
  <si>
    <t>DỊCH VỤ ĐẦU VÀO CÓ VAT</t>
  </si>
  <si>
    <t>1.1</t>
  </si>
  <si>
    <t>VÉ THAM QUAN</t>
  </si>
  <si>
    <t>1.2</t>
  </si>
  <si>
    <t>KHÁCH SẠN</t>
  </si>
  <si>
    <t>ĂN UỐNG</t>
  </si>
  <si>
    <t>1.3</t>
  </si>
  <si>
    <t>VẬN CHUYỂN</t>
  </si>
  <si>
    <t xml:space="preserve">TRIỆU BẢO Ý </t>
  </si>
  <si>
    <t>II</t>
  </si>
  <si>
    <t>DỊCH VỤ ĐẦU VÀO CHƯA VAT</t>
  </si>
  <si>
    <t>Khăn +Nước</t>
  </si>
  <si>
    <t>Hướng dẫn viên du lịch</t>
  </si>
  <si>
    <t xml:space="preserve">Băng Rôn </t>
  </si>
  <si>
    <t>Mũ Du Lịch</t>
  </si>
  <si>
    <t xml:space="preserve">Lưu đêm hdv </t>
  </si>
  <si>
    <t>Bảo hiểm Du lịch trong nước</t>
  </si>
  <si>
    <t>120tr/vụ/ngày</t>
  </si>
  <si>
    <t>TỔNG CỘNG</t>
  </si>
  <si>
    <t>Tổng thu từ khách hàng</t>
  </si>
  <si>
    <t>Doanh Thu</t>
  </si>
  <si>
    <t>DT thuần</t>
  </si>
  <si>
    <t>Chi phí</t>
  </si>
  <si>
    <t>Chi phí thuần</t>
  </si>
  <si>
    <t>Lãi Gộp</t>
  </si>
  <si>
    <t>Dich vụ 10%</t>
  </si>
  <si>
    <t xml:space="preserve">Dịch vụ 0% </t>
  </si>
  <si>
    <t>Người lập</t>
  </si>
  <si>
    <t xml:space="preserve">Tuyến Tour: </t>
  </si>
  <si>
    <t>Đà Nẵng - Hội An - Huế</t>
  </si>
  <si>
    <t>30/07-02/08/2026</t>
  </si>
  <si>
    <t>3 ngày 2 đêm</t>
  </si>
  <si>
    <t>Số lượng người lớn</t>
  </si>
  <si>
    <t>Số lượng Trẻ em 70%</t>
  </si>
  <si>
    <t>Số lượng Trẻ em 50%</t>
  </si>
  <si>
    <t>Số lượng Trẻ em Miễn phí</t>
  </si>
  <si>
    <t>Đơn giá TE 70%</t>
  </si>
  <si>
    <t>Đơn giá TE 50%</t>
  </si>
  <si>
    <t>Đơn giá TE Free</t>
  </si>
  <si>
    <t>Đại Nội Huế</t>
  </si>
  <si>
    <t>Bà Nà</t>
  </si>
  <si>
    <t>Hội An - Người lớn</t>
  </si>
  <si>
    <t>Hội An Trẻ em</t>
  </si>
  <si>
    <t>Bà Nà Trẻ em</t>
  </si>
  <si>
    <t>KHÁCH SẠN MƯỜNG THANH</t>
  </si>
  <si>
    <t>Đà Nẵng</t>
  </si>
  <si>
    <t>KHÁCH SẠN HƯƠNG GIANG</t>
  </si>
  <si>
    <t>Huế</t>
  </si>
  <si>
    <t>Trưa ngày 30/07</t>
  </si>
  <si>
    <t>NH MADAM LÂN</t>
  </si>
  <si>
    <t>Tối ngày 30/07</t>
  </si>
  <si>
    <t>NH CƠM NIÊU VIỆT</t>
  </si>
  <si>
    <t>XE 45 CHỖ</t>
  </si>
  <si>
    <t>1.4</t>
  </si>
  <si>
    <t>CÁC DỊCH VỤ KHÁC</t>
  </si>
  <si>
    <t>GALA DINNER</t>
  </si>
  <si>
    <t>TEAM BUILDING</t>
  </si>
  <si>
    <t>HỘI NGHỊ</t>
  </si>
  <si>
    <t>MƯỜNG THANH</t>
  </si>
  <si>
    <t>DUY HẢI EVENT</t>
  </si>
  <si>
    <t>KS ROYAL</t>
  </si>
  <si>
    <t>NHÀ CUNG CẤP</t>
  </si>
  <si>
    <t>ACCCOUNT SALES =&gt;XEM LẠI TRƯỚC KHI BẤM GỬI =&gt; ACCOUNT ĐIỀU HÀNH VÀ GIÁM ĐỐC NHẬN</t>
  </si>
  <si>
    <t xml:space="preserve">Vì giám đốc phải xem dự toán đó đảm bảo chưa, nếu chưa sẽ trao đổi và cho ý kiến </t>
  </si>
  <si>
    <t>LỊCH TRÌNH THÁNG 01/2026</t>
  </si>
  <si>
    <t>QUÂN</t>
  </si>
  <si>
    <t xml:space="preserve">                    TOUR CÔNG TY THÀNH</t>
  </si>
  <si>
    <t xml:space="preserve">                    TOUR XI MĂNG      </t>
  </si>
  <si>
    <t xml:space="preserve">      NGHI SƠN</t>
  </si>
  <si>
    <t>TOUR ĐẠI HỌC BÁCH KHOA</t>
  </si>
  <si>
    <t>DASHBOARD 1</t>
  </si>
  <si>
    <t>SALES 1</t>
  </si>
  <si>
    <t>SALES 2</t>
  </si>
  <si>
    <t>SALES 3</t>
  </si>
  <si>
    <t>CHỈ TIÊU</t>
  </si>
  <si>
    <t>500tr</t>
  </si>
  <si>
    <t>1  tỷ</t>
  </si>
  <si>
    <t>1,5 tỷ</t>
  </si>
  <si>
    <t>2 tỷ</t>
  </si>
  <si>
    <t>THƯỚC ĐO</t>
  </si>
  <si>
    <t>Tour</t>
  </si>
  <si>
    <t>Xe</t>
  </si>
  <si>
    <t>Vé lẻ</t>
  </si>
  <si>
    <t>Sự kiện</t>
  </si>
  <si>
    <t>Kiểu dạng này nhưng có thêm %</t>
  </si>
  <si>
    <t>Click vào thấy được doanh thu thực</t>
  </si>
  <si>
    <t>DASHBOARD 3 (DOANH THU TỔNG VÀ CƠ CẤU)</t>
  </si>
  <si>
    <t>DASHBOARD 2 (DOANH THU CÁC SALES)</t>
  </si>
  <si>
    <t>DASHBOARD 4 (DOANH THU VÀ LỢI NHUẬN KHÁCH HÀNG)</t>
  </si>
  <si>
    <t>CTY A</t>
  </si>
  <si>
    <t>CTY B</t>
  </si>
  <si>
    <t>CTY C</t>
  </si>
  <si>
    <t>NCC A</t>
  </si>
  <si>
    <t>NCC B</t>
  </si>
  <si>
    <t>NCC C</t>
  </si>
  <si>
    <t>DASHBOARD 5 (DOANH THU NHÀ CUNG CẤP)</t>
  </si>
  <si>
    <t>DASHBOARD 6 (THỐNG KÊ THỊ TRƯỜNG KHÁCH/ DOANH SỐ)</t>
  </si>
  <si>
    <t>NỘI ĐỊA</t>
  </si>
  <si>
    <t>INBOUND</t>
  </si>
  <si>
    <t>OUTBOUND</t>
  </si>
  <si>
    <t>Số lượng khách</t>
  </si>
  <si>
    <t>Doanh thu</t>
  </si>
  <si>
    <t>Nếu ggopj được 2 cái này vào sẽ OK hơn, đồng thời thể hiện thêm chỉ số %</t>
  </si>
  <si>
    <t>TIẾN ĐỘ CÔNG VIỆC</t>
  </si>
  <si>
    <t>HOÀN THÀNH</t>
  </si>
  <si>
    <t>ĐANG THỰC HIỆN</t>
  </si>
  <si>
    <t>CHƯA XONG</t>
  </si>
  <si>
    <t>Tổng doanh thu</t>
  </si>
  <si>
    <t>Tổng lợi nhuận</t>
  </si>
  <si>
    <t>TOUR CÔNG TY ABC</t>
  </si>
  <si>
    <t>ACCOUNT SALES 1</t>
  </si>
  <si>
    <t>MẢNG</t>
  </si>
  <si>
    <t>TOUR</t>
  </si>
  <si>
    <t>LOẠI HÌNH</t>
  </si>
  <si>
    <t>SĐT</t>
  </si>
  <si>
    <t>Email</t>
  </si>
  <si>
    <t>Ngày sinh nhật</t>
  </si>
  <si>
    <t>Họ tên người liên hệ</t>
  </si>
  <si>
    <t>Nguyễn Văn A</t>
  </si>
  <si>
    <t>nguyenvana@gmail.com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</si>
</sst>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_-;\-* #,##0_-;_-* &quot;-&quot;??_-;_-@_-"/>
  </numFmts>
  <fonts count="29" x14ac:knownFonts="1">
    <font>
      <sz val="11"/>
      <color theme="1"/>
      <name val="Arial"/>
      <scheme val="minor"/>
    </font>
    <font>
      <sz val="11"/>
      <color theme="1"/>
      <name val="Arial"/>
    </font>
    <font>
      <sz val="11"/>
      <color theme="1"/>
      <name val="Arial"/>
    </font>
    <font>
      <b/>
      <sz val="18"/>
      <color theme="1"/>
      <name val="Times New Roman"/>
    </font>
    <font>
      <sz val="11"/>
      <name val="Arial"/>
    </font>
    <font>
      <sz val="11"/>
      <color theme="1"/>
      <name val="Times New Roman"/>
    </font>
    <font>
      <b/>
      <sz val="11"/>
      <color theme="1"/>
      <name val="Times New Roman"/>
    </font>
    <font>
      <b/>
      <i/>
      <sz val="11"/>
      <color rgb="FFFF0000"/>
      <name val="Times New Roman"/>
    </font>
    <font>
      <i/>
      <sz val="11"/>
      <color rgb="FFFF0000"/>
      <name val="Times New Roman"/>
    </font>
    <font>
      <b/>
      <sz val="11"/>
      <color rgb="FFFF0000"/>
      <name val="Times New Roman"/>
    </font>
    <font>
      <b/>
      <sz val="10"/>
      <color theme="1"/>
      <name val="Times New Roman"/>
    </font>
    <font>
      <sz val="10"/>
      <color theme="1"/>
      <name val="Times New Roman"/>
    </font>
    <font>
      <b/>
      <sz val="10"/>
      <color rgb="FFFF0000"/>
      <name val="Times New Roman"/>
    </font>
    <font>
      <sz val="11"/>
      <color theme="1"/>
      <name val="Arial"/>
      <scheme val="minor"/>
    </font>
    <font>
      <b/>
      <sz val="9"/>
      <color indexed="81"/>
      <name val="Tahoma"/>
      <charset val="1"/>
    </font>
    <font>
      <sz val="14"/>
      <color theme="1"/>
      <name val="Arial"/>
      <family val="2"/>
      <scheme val="minor"/>
    </font>
    <font>
      <sz val="11"/>
      <color theme="1"/>
      <name val="Arial"/>
      <family val="2"/>
      <scheme val="minor"/>
    </font>
    <font>
      <sz val="11"/>
      <color rgb="FFFFFF99"/>
      <name val="Arial"/>
      <family val="2"/>
      <scheme val="minor"/>
    </font>
    <font>
      <sz val="8"/>
      <name val="Arial"/>
      <family val="2"/>
      <scheme val="minor"/>
    </font>
    <font>
      <b/>
      <sz val="9"/>
      <color indexed="81"/>
      <name val="Tahoma"/>
      <family val="2"/>
    </font>
    <font>
      <b/>
      <sz val="11"/>
      <color theme="1"/>
      <name val="Times New Roman"/>
      <family val="1"/>
    </font>
    <font>
      <sz val="11"/>
      <color rgb="FFFFFFCC"/>
      <name val="Times New Roman"/>
      <family val="1"/>
    </font>
    <font>
      <sz val="11"/>
      <color rgb="FFFF0000"/>
      <name val="Times New Roman"/>
      <family val="1"/>
    </font>
    <font>
      <b/>
      <sz val="18"/>
      <color theme="1"/>
      <name val="Times New Roman"/>
      <family val="1"/>
    </font>
    <font>
      <b/>
      <sz val="11"/>
      <color rgb="FFFF0000"/>
      <name val="Times New Roman"/>
      <family val="1"/>
    </font>
    <font>
      <b/>
      <sz val="12"/>
      <color theme="1"/>
      <name val="Times New Roman"/>
      <family val="1"/>
    </font>
    <font>
      <b/>
      <sz val="12"/>
      <color theme="1"/>
      <name val="Times New Roman"/>
      <family val="1"/>
      <charset val="163"/>
    </font>
    <font>
      <sz val="12"/>
      <name val="Arial"/>
      <family val="2"/>
    </font>
    <font>
      <u/>
      <sz val="11"/>
      <color theme="10"/>
      <name val="Arial"/>
      <family val="2"/>
      <scheme val="minor"/>
    </font>
  </fonts>
  <fills count="19">
    <fill>
      <patternFill patternType="none"/>
    </fill>
    <fill>
      <patternFill patternType="gray125"/>
    </fill>
    <fill>
      <patternFill patternType="solid">
        <fgColor rgb="FFFFFF00"/>
        <bgColor rgb="FFFFFF00"/>
      </patternFill>
    </fill>
    <fill>
      <patternFill patternType="solid">
        <fgColor rgb="FFDAEEF3"/>
        <bgColor rgb="FFDAEEF3"/>
      </patternFill>
    </fill>
    <fill>
      <patternFill patternType="solid">
        <fgColor rgb="FF92CDDC"/>
        <bgColor rgb="FF92CDDC"/>
      </patternFill>
    </fill>
    <fill>
      <patternFill patternType="solid">
        <fgColor rgb="FFB6DDE8"/>
        <bgColor rgb="FFB6DDE8"/>
      </patternFill>
    </fill>
    <fill>
      <patternFill patternType="solid">
        <fgColor theme="0"/>
        <bgColor theme="0"/>
      </patternFill>
    </fill>
    <fill>
      <patternFill patternType="solid">
        <fgColor rgb="FFD99594"/>
        <bgColor rgb="FFD99594"/>
      </patternFill>
    </fill>
    <fill>
      <patternFill patternType="solid">
        <fgColor rgb="FFFABF8F"/>
        <bgColor rgb="FFFABF8F"/>
      </patternFill>
    </fill>
    <fill>
      <patternFill patternType="solid">
        <fgColor theme="5" tint="0.59999389629810485"/>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rgb="FFFFFF00"/>
        <bgColor indexed="64"/>
      </patternFill>
    </fill>
    <fill>
      <patternFill patternType="solid">
        <fgColor rgb="FFFF0000"/>
        <bgColor indexed="64"/>
      </patternFill>
    </fill>
    <fill>
      <patternFill patternType="solid">
        <fgColor theme="2" tint="-4.9989318521683403E-2"/>
        <bgColor indexed="64"/>
      </patternFill>
    </fill>
    <fill>
      <patternFill patternType="solid">
        <fgColor rgb="FFFFC000"/>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5" tint="0.59999389629810485"/>
        <bgColor rgb="FFFFFF00"/>
      </patternFill>
    </fill>
  </fills>
  <borders count="2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s>
  <cellStyleXfs count="4">
    <xf numFmtId="0" fontId="0" fillId="0" borderId="0"/>
    <xf numFmtId="43" fontId="13" fillId="0" borderId="0" applyFont="0" applyFill="0" applyBorder="0" applyAlignment="0" applyProtection="0"/>
    <xf numFmtId="9" fontId="13" fillId="0" borderId="0" applyFont="0" applyFill="0" applyBorder="0" applyAlignment="0" applyProtection="0"/>
    <xf numFmtId="0" fontId="28" fillId="0" borderId="0" applyNumberFormat="0" applyFill="0" applyBorder="0" applyAlignment="0" applyProtection="0"/>
  </cellStyleXfs>
  <cellXfs count="168">
    <xf numFmtId="0" fontId="0" fillId="0" borderId="0" xfId="0"/>
    <xf numFmtId="0" fontId="1" fillId="0" borderId="0" xfId="0" applyFont="1" applyAlignment="1">
      <alignment wrapText="1"/>
    </xf>
    <xf numFmtId="0" fontId="1" fillId="0" borderId="0" xfId="0" applyFont="1" applyAlignment="1">
      <alignment horizontal="center"/>
    </xf>
    <xf numFmtId="3" fontId="2" fillId="0" borderId="0" xfId="0" applyNumberFormat="1" applyFont="1"/>
    <xf numFmtId="3" fontId="5" fillId="0" borderId="0" xfId="0" applyNumberFormat="1" applyFont="1" applyAlignment="1">
      <alignment horizontal="center"/>
    </xf>
    <xf numFmtId="3" fontId="6" fillId="0" borderId="4" xfId="0" applyNumberFormat="1" applyFont="1" applyBorder="1" applyAlignment="1">
      <alignment horizontal="left"/>
    </xf>
    <xf numFmtId="3" fontId="6" fillId="0" borderId="4" xfId="0" applyNumberFormat="1" applyFont="1" applyBorder="1" applyAlignment="1">
      <alignment horizontal="left" wrapText="1"/>
    </xf>
    <xf numFmtId="3" fontId="6" fillId="0" borderId="0" xfId="0" applyNumberFormat="1" applyFont="1" applyAlignment="1">
      <alignment horizontal="right"/>
    </xf>
    <xf numFmtId="3" fontId="8" fillId="0" borderId="0" xfId="0" applyNumberFormat="1" applyFont="1" applyAlignment="1">
      <alignment horizontal="right"/>
    </xf>
    <xf numFmtId="3" fontId="9" fillId="0" borderId="4" xfId="0" applyNumberFormat="1" applyFont="1" applyBorder="1" applyAlignment="1">
      <alignment horizontal="left"/>
    </xf>
    <xf numFmtId="3" fontId="5" fillId="0" borderId="0" xfId="0" applyNumberFormat="1" applyFont="1" applyAlignment="1">
      <alignment horizontal="right"/>
    </xf>
    <xf numFmtId="164" fontId="10" fillId="0" borderId="4" xfId="0" applyNumberFormat="1" applyFont="1" applyBorder="1" applyAlignment="1">
      <alignment horizontal="left"/>
    </xf>
    <xf numFmtId="3" fontId="6" fillId="3" borderId="4" xfId="0" applyNumberFormat="1" applyFont="1" applyFill="1" applyBorder="1" applyAlignment="1">
      <alignment horizontal="center" vertical="center"/>
    </xf>
    <xf numFmtId="3" fontId="6" fillId="3" borderId="4" xfId="0" applyNumberFormat="1" applyFont="1" applyFill="1" applyBorder="1" applyAlignment="1">
      <alignment horizontal="center" vertical="center" wrapText="1"/>
    </xf>
    <xf numFmtId="3" fontId="9" fillId="0" borderId="1" xfId="0" applyNumberFormat="1" applyFont="1" applyBorder="1" applyAlignment="1">
      <alignment horizontal="left"/>
    </xf>
    <xf numFmtId="3" fontId="9" fillId="0" borderId="3" xfId="0" applyNumberFormat="1" applyFont="1" applyBorder="1" applyAlignment="1">
      <alignment horizontal="left" wrapText="1"/>
    </xf>
    <xf numFmtId="3" fontId="5" fillId="0" borderId="4" xfId="0" applyNumberFormat="1" applyFont="1" applyBorder="1" applyAlignment="1">
      <alignment horizontal="right" wrapText="1"/>
    </xf>
    <xf numFmtId="3" fontId="5" fillId="0" borderId="4" xfId="0" applyNumberFormat="1" applyFont="1" applyBorder="1" applyAlignment="1">
      <alignment horizontal="right"/>
    </xf>
    <xf numFmtId="3" fontId="5" fillId="0" borderId="4" xfId="0" applyNumberFormat="1" applyFont="1" applyBorder="1" applyAlignment="1">
      <alignment horizontal="center"/>
    </xf>
    <xf numFmtId="3" fontId="10" fillId="4" borderId="4" xfId="0" applyNumberFormat="1" applyFont="1" applyFill="1" applyBorder="1" applyAlignment="1">
      <alignment horizontal="center" vertical="center"/>
    </xf>
    <xf numFmtId="3" fontId="10" fillId="4" borderId="4" xfId="0" applyNumberFormat="1" applyFont="1" applyFill="1" applyBorder="1" applyAlignment="1">
      <alignment horizontal="left" vertical="center" wrapText="1"/>
    </xf>
    <xf numFmtId="3" fontId="11" fillId="4" borderId="4" xfId="0" applyNumberFormat="1" applyFont="1" applyFill="1" applyBorder="1" applyAlignment="1">
      <alignment horizontal="right" vertical="center" wrapText="1"/>
    </xf>
    <xf numFmtId="3" fontId="11" fillId="4" borderId="4" xfId="0" applyNumberFormat="1" applyFont="1" applyFill="1" applyBorder="1" applyAlignment="1">
      <alignment horizontal="center" vertical="center"/>
    </xf>
    <xf numFmtId="3" fontId="11" fillId="4" borderId="4" xfId="0" applyNumberFormat="1" applyFont="1" applyFill="1" applyBorder="1" applyAlignment="1">
      <alignment horizontal="center"/>
    </xf>
    <xf numFmtId="3" fontId="11" fillId="4" borderId="4" xfId="0" applyNumberFormat="1" applyFont="1" applyFill="1" applyBorder="1" applyAlignment="1">
      <alignment horizontal="right"/>
    </xf>
    <xf numFmtId="3" fontId="10" fillId="5" borderId="4" xfId="0" applyNumberFormat="1" applyFont="1" applyFill="1" applyBorder="1" applyAlignment="1">
      <alignment horizontal="center" vertical="center"/>
    </xf>
    <xf numFmtId="3" fontId="10" fillId="5" borderId="4" xfId="0" applyNumberFormat="1" applyFont="1" applyFill="1" applyBorder="1" applyAlignment="1">
      <alignment horizontal="left" vertical="center" wrapText="1"/>
    </xf>
    <xf numFmtId="3" fontId="11" fillId="5" borderId="4" xfId="0" applyNumberFormat="1" applyFont="1" applyFill="1" applyBorder="1" applyAlignment="1">
      <alignment horizontal="right" vertical="center" wrapText="1"/>
    </xf>
    <xf numFmtId="3" fontId="11" fillId="5" borderId="4" xfId="0" applyNumberFormat="1" applyFont="1" applyFill="1" applyBorder="1" applyAlignment="1">
      <alignment horizontal="center" vertical="center"/>
    </xf>
    <xf numFmtId="3" fontId="11" fillId="5" borderId="4" xfId="0" applyNumberFormat="1" applyFont="1" applyFill="1" applyBorder="1" applyAlignment="1">
      <alignment horizontal="center"/>
    </xf>
    <xf numFmtId="3" fontId="11" fillId="5" borderId="4" xfId="0" applyNumberFormat="1" applyFont="1" applyFill="1" applyBorder="1" applyAlignment="1">
      <alignment horizontal="right"/>
    </xf>
    <xf numFmtId="0" fontId="2" fillId="0" borderId="0" xfId="0" applyFont="1"/>
    <xf numFmtId="3" fontId="11" fillId="6" borderId="4" xfId="0" applyNumberFormat="1" applyFont="1" applyFill="1" applyBorder="1" applyAlignment="1">
      <alignment horizontal="center" vertical="center"/>
    </xf>
    <xf numFmtId="3" fontId="11" fillId="6" borderId="4" xfId="0" applyNumberFormat="1" applyFont="1" applyFill="1" applyBorder="1" applyAlignment="1">
      <alignment horizontal="center"/>
    </xf>
    <xf numFmtId="3" fontId="11" fillId="6" borderId="4" xfId="0" applyNumberFormat="1" applyFont="1" applyFill="1" applyBorder="1" applyAlignment="1">
      <alignment horizontal="right"/>
    </xf>
    <xf numFmtId="3" fontId="10" fillId="0" borderId="4" xfId="0" applyNumberFormat="1" applyFont="1" applyBorder="1" applyAlignment="1">
      <alignment horizontal="center" vertical="center"/>
    </xf>
    <xf numFmtId="0" fontId="11" fillId="0" borderId="4" xfId="0" applyFont="1" applyBorder="1" applyAlignment="1">
      <alignment horizontal="left" wrapText="1"/>
    </xf>
    <xf numFmtId="3" fontId="11" fillId="0" borderId="4" xfId="0" applyNumberFormat="1" applyFont="1" applyBorder="1" applyAlignment="1">
      <alignment horizontal="center" vertical="center" wrapText="1"/>
    </xf>
    <xf numFmtId="3" fontId="11" fillId="0" borderId="4" xfId="0" applyNumberFormat="1" applyFont="1" applyBorder="1" applyAlignment="1">
      <alignment horizontal="center" vertical="center"/>
    </xf>
    <xf numFmtId="3" fontId="11" fillId="0" borderId="4" xfId="0" applyNumberFormat="1" applyFont="1" applyBorder="1" applyAlignment="1">
      <alignment horizontal="center"/>
    </xf>
    <xf numFmtId="3" fontId="11" fillId="0" borderId="4" xfId="0" applyNumberFormat="1" applyFont="1" applyBorder="1" applyAlignment="1">
      <alignment horizontal="right"/>
    </xf>
    <xf numFmtId="3" fontId="10" fillId="2" borderId="4" xfId="0" applyNumberFormat="1" applyFont="1" applyFill="1" applyBorder="1" applyAlignment="1">
      <alignment horizontal="center" vertical="center"/>
    </xf>
    <xf numFmtId="3" fontId="10" fillId="2" borderId="4" xfId="0" applyNumberFormat="1" applyFont="1" applyFill="1" applyBorder="1" applyAlignment="1">
      <alignment horizontal="left" vertical="center" wrapText="1"/>
    </xf>
    <xf numFmtId="3" fontId="11" fillId="2" borderId="4" xfId="0" applyNumberFormat="1" applyFont="1" applyFill="1" applyBorder="1" applyAlignment="1">
      <alignment horizontal="right" vertical="center" wrapText="1"/>
    </xf>
    <xf numFmtId="3" fontId="11" fillId="2" borderId="4" xfId="0" applyNumberFormat="1" applyFont="1" applyFill="1" applyBorder="1" applyAlignment="1">
      <alignment horizontal="center" vertical="center"/>
    </xf>
    <xf numFmtId="3" fontId="11" fillId="2" borderId="4" xfId="0" applyNumberFormat="1" applyFont="1" applyFill="1" applyBorder="1" applyAlignment="1">
      <alignment horizontal="center"/>
    </xf>
    <xf numFmtId="3" fontId="11" fillId="2" borderId="4" xfId="0" applyNumberFormat="1" applyFont="1" applyFill="1" applyBorder="1" applyAlignment="1">
      <alignment horizontal="right"/>
    </xf>
    <xf numFmtId="3" fontId="10" fillId="6" borderId="5" xfId="0" applyNumberFormat="1" applyFont="1" applyFill="1" applyBorder="1" applyAlignment="1">
      <alignment horizontal="center" vertical="center"/>
    </xf>
    <xf numFmtId="3" fontId="11" fillId="6" borderId="4" xfId="0" applyNumberFormat="1" applyFont="1" applyFill="1" applyBorder="1" applyAlignment="1">
      <alignment horizontal="left" wrapText="1"/>
    </xf>
    <xf numFmtId="3" fontId="11" fillId="6" borderId="4" xfId="0" applyNumberFormat="1" applyFont="1" applyFill="1" applyBorder="1" applyAlignment="1">
      <alignment horizontal="right" wrapText="1"/>
    </xf>
    <xf numFmtId="3" fontId="10" fillId="0" borderId="5" xfId="0" applyNumberFormat="1" applyFont="1" applyBorder="1" applyAlignment="1">
      <alignment horizontal="center" vertical="center"/>
    </xf>
    <xf numFmtId="3" fontId="11" fillId="0" borderId="4" xfId="0" applyNumberFormat="1" applyFont="1" applyBorder="1" applyAlignment="1">
      <alignment horizontal="left" wrapText="1"/>
    </xf>
    <xf numFmtId="3" fontId="11" fillId="0" borderId="4" xfId="0" applyNumberFormat="1" applyFont="1" applyBorder="1" applyAlignment="1">
      <alignment horizontal="right" wrapText="1"/>
    </xf>
    <xf numFmtId="3" fontId="10" fillId="7" borderId="6" xfId="0" applyNumberFormat="1" applyFont="1" applyFill="1" applyBorder="1" applyAlignment="1">
      <alignment horizontal="right" wrapText="1"/>
    </xf>
    <xf numFmtId="3" fontId="10" fillId="7" borderId="4" xfId="0" applyNumberFormat="1" applyFont="1" applyFill="1" applyBorder="1" applyAlignment="1">
      <alignment horizontal="right"/>
    </xf>
    <xf numFmtId="3" fontId="10" fillId="7" borderId="4" xfId="0" applyNumberFormat="1" applyFont="1" applyFill="1" applyBorder="1" applyAlignment="1">
      <alignment horizontal="center"/>
    </xf>
    <xf numFmtId="3" fontId="6" fillId="0" borderId="0" xfId="0" applyNumberFormat="1" applyFont="1" applyAlignment="1">
      <alignment horizontal="right" wrapText="1"/>
    </xf>
    <xf numFmtId="3" fontId="10" fillId="8" borderId="7" xfId="0" applyNumberFormat="1" applyFont="1" applyFill="1" applyBorder="1" applyAlignment="1">
      <alignment horizontal="left" vertical="top" wrapText="1"/>
    </xf>
    <xf numFmtId="3" fontId="10" fillId="8" borderId="6" xfId="0" applyNumberFormat="1" applyFont="1" applyFill="1" applyBorder="1" applyAlignment="1">
      <alignment horizontal="center" vertical="top" wrapText="1"/>
    </xf>
    <xf numFmtId="3" fontId="10" fillId="8" borderId="4" xfId="0" applyNumberFormat="1" applyFont="1" applyFill="1" applyBorder="1" applyAlignment="1">
      <alignment horizontal="center" vertical="top"/>
    </xf>
    <xf numFmtId="3" fontId="10" fillId="8" borderId="4" xfId="0" applyNumberFormat="1" applyFont="1" applyFill="1" applyBorder="1" applyAlignment="1">
      <alignment horizontal="center" vertical="top" wrapText="1"/>
    </xf>
    <xf numFmtId="3" fontId="11" fillId="0" borderId="0" xfId="0" applyNumberFormat="1" applyFont="1" applyAlignment="1">
      <alignment horizontal="right"/>
    </xf>
    <xf numFmtId="3" fontId="10" fillId="0" borderId="4" xfId="0" applyNumberFormat="1" applyFont="1" applyBorder="1" applyAlignment="1">
      <alignment horizontal="left" vertical="top" wrapText="1"/>
    </xf>
    <xf numFmtId="3" fontId="10" fillId="0" borderId="4" xfId="0" applyNumberFormat="1" applyFont="1" applyBorder="1" applyAlignment="1">
      <alignment horizontal="center" vertical="top" wrapText="1"/>
    </xf>
    <xf numFmtId="3" fontId="10" fillId="0" borderId="4" xfId="0" applyNumberFormat="1" applyFont="1" applyBorder="1" applyAlignment="1">
      <alignment horizontal="center" vertical="top"/>
    </xf>
    <xf numFmtId="3" fontId="10" fillId="2" borderId="4" xfId="0" applyNumberFormat="1" applyFont="1" applyFill="1" applyBorder="1" applyAlignment="1">
      <alignment horizontal="center" vertical="top" wrapText="1"/>
    </xf>
    <xf numFmtId="3" fontId="10" fillId="2" borderId="4" xfId="0" applyNumberFormat="1" applyFont="1" applyFill="1" applyBorder="1" applyAlignment="1">
      <alignment horizontal="center" vertical="top"/>
    </xf>
    <xf numFmtId="3" fontId="12" fillId="0" borderId="0" xfId="0" applyNumberFormat="1" applyFont="1" applyAlignment="1">
      <alignment horizontal="center" vertical="top" wrapText="1"/>
    </xf>
    <xf numFmtId="3" fontId="12" fillId="0" borderId="0" xfId="0" applyNumberFormat="1" applyFont="1" applyAlignment="1">
      <alignment horizontal="center" vertical="top"/>
    </xf>
    <xf numFmtId="164" fontId="12" fillId="0" borderId="0" xfId="0" applyNumberFormat="1" applyFont="1" applyAlignment="1">
      <alignment horizontal="center" vertical="top"/>
    </xf>
    <xf numFmtId="3" fontId="6" fillId="0" borderId="0" xfId="0" applyNumberFormat="1" applyFont="1" applyAlignment="1">
      <alignment horizontal="center"/>
    </xf>
    <xf numFmtId="3" fontId="6" fillId="0" borderId="0" xfId="0" applyNumberFormat="1" applyFont="1" applyAlignment="1">
      <alignment horizontal="left" vertical="top" wrapText="1"/>
    </xf>
    <xf numFmtId="3" fontId="6" fillId="0" borderId="0" xfId="0" applyNumberFormat="1" applyFont="1" applyAlignment="1">
      <alignment horizontal="center" vertical="top" wrapText="1"/>
    </xf>
    <xf numFmtId="3" fontId="5" fillId="0" borderId="0" xfId="0" applyNumberFormat="1" applyFont="1"/>
    <xf numFmtId="3" fontId="5" fillId="0" borderId="0" xfId="0" applyNumberFormat="1" applyFont="1" applyAlignment="1">
      <alignment horizontal="right" wrapText="1"/>
    </xf>
    <xf numFmtId="0" fontId="13" fillId="0" borderId="0" xfId="0" applyFont="1" applyAlignment="1">
      <alignment horizontal="center"/>
    </xf>
    <xf numFmtId="3" fontId="6" fillId="9" borderId="4" xfId="0" applyNumberFormat="1" applyFont="1" applyFill="1" applyBorder="1" applyAlignment="1">
      <alignment horizontal="left" wrapText="1"/>
    </xf>
    <xf numFmtId="3" fontId="6" fillId="9" borderId="4" xfId="0" applyNumberFormat="1" applyFont="1" applyFill="1" applyBorder="1" applyAlignment="1">
      <alignment horizontal="center" wrapText="1"/>
    </xf>
    <xf numFmtId="3" fontId="7" fillId="9" borderId="4" xfId="0" applyNumberFormat="1" applyFont="1" applyFill="1" applyBorder="1" applyAlignment="1">
      <alignment horizontal="left"/>
    </xf>
    <xf numFmtId="3" fontId="6" fillId="9" borderId="4" xfId="0" applyNumberFormat="1" applyFont="1" applyFill="1" applyBorder="1" applyAlignment="1">
      <alignment horizontal="left"/>
    </xf>
    <xf numFmtId="3" fontId="9" fillId="9" borderId="4" xfId="0" applyNumberFormat="1" applyFont="1" applyFill="1" applyBorder="1" applyAlignment="1">
      <alignment horizontal="left"/>
    </xf>
    <xf numFmtId="3" fontId="10" fillId="5" borderId="5" xfId="0" applyNumberFormat="1" applyFont="1" applyFill="1" applyBorder="1" applyAlignment="1">
      <alignment horizontal="center" vertical="center"/>
    </xf>
    <xf numFmtId="3" fontId="10" fillId="5" borderId="5" xfId="0" applyNumberFormat="1" applyFont="1" applyFill="1" applyBorder="1" applyAlignment="1">
      <alignment horizontal="left" vertical="center" wrapText="1"/>
    </xf>
    <xf numFmtId="3" fontId="11" fillId="5" borderId="5" xfId="0" applyNumberFormat="1" applyFont="1" applyFill="1" applyBorder="1" applyAlignment="1">
      <alignment horizontal="center" vertical="center"/>
    </xf>
    <xf numFmtId="3" fontId="11" fillId="5" borderId="5" xfId="0" applyNumberFormat="1" applyFont="1" applyFill="1" applyBorder="1" applyAlignment="1">
      <alignment horizontal="center"/>
    </xf>
    <xf numFmtId="3" fontId="11" fillId="5" borderId="5" xfId="0" applyNumberFormat="1" applyFont="1" applyFill="1" applyBorder="1" applyAlignment="1">
      <alignment horizontal="right"/>
    </xf>
    <xf numFmtId="3" fontId="10" fillId="5" borderId="11" xfId="0" applyNumberFormat="1" applyFont="1" applyFill="1" applyBorder="1" applyAlignment="1">
      <alignment horizontal="center" vertical="center"/>
    </xf>
    <xf numFmtId="3" fontId="10" fillId="5" borderId="11" xfId="0" applyNumberFormat="1" applyFont="1" applyFill="1" applyBorder="1" applyAlignment="1">
      <alignment horizontal="left" vertical="center" wrapText="1"/>
    </xf>
    <xf numFmtId="3" fontId="11" fillId="5" borderId="11" xfId="0" applyNumberFormat="1" applyFont="1" applyFill="1" applyBorder="1" applyAlignment="1">
      <alignment horizontal="right" vertical="center" wrapText="1"/>
    </xf>
    <xf numFmtId="3" fontId="11" fillId="5" borderId="11" xfId="0" applyNumberFormat="1" applyFont="1" applyFill="1" applyBorder="1" applyAlignment="1">
      <alignment horizontal="center" vertical="center"/>
    </xf>
    <xf numFmtId="3" fontId="11" fillId="5" borderId="11" xfId="0" applyNumberFormat="1" applyFont="1" applyFill="1" applyBorder="1" applyAlignment="1">
      <alignment horizontal="center"/>
    </xf>
    <xf numFmtId="3" fontId="11" fillId="5" borderId="11" xfId="0" applyNumberFormat="1" applyFont="1" applyFill="1" applyBorder="1" applyAlignment="1">
      <alignment horizontal="right"/>
    </xf>
    <xf numFmtId="3" fontId="10" fillId="6" borderId="9" xfId="0" applyNumberFormat="1" applyFont="1" applyFill="1" applyBorder="1" applyAlignment="1">
      <alignment horizontal="center" vertical="center"/>
    </xf>
    <xf numFmtId="0" fontId="1" fillId="0" borderId="9" xfId="0" applyFont="1" applyBorder="1"/>
    <xf numFmtId="3" fontId="11" fillId="6" borderId="9" xfId="0" applyNumberFormat="1" applyFont="1" applyFill="1" applyBorder="1" applyAlignment="1">
      <alignment horizontal="center" vertical="center" wrapText="1"/>
    </xf>
    <xf numFmtId="3" fontId="11" fillId="0" borderId="9" xfId="0" applyNumberFormat="1" applyFont="1" applyBorder="1" applyAlignment="1">
      <alignment horizontal="center" vertical="center"/>
    </xf>
    <xf numFmtId="3" fontId="11" fillId="6" borderId="9" xfId="0" applyNumberFormat="1" applyFont="1" applyFill="1" applyBorder="1" applyAlignment="1">
      <alignment horizontal="center"/>
    </xf>
    <xf numFmtId="3" fontId="11" fillId="6" borderId="9" xfId="0" applyNumberFormat="1" applyFont="1" applyFill="1" applyBorder="1" applyAlignment="1">
      <alignment horizontal="right"/>
    </xf>
    <xf numFmtId="3" fontId="11" fillId="5" borderId="5" xfId="0" applyNumberFormat="1" applyFont="1" applyFill="1" applyBorder="1" applyAlignment="1">
      <alignment horizontal="center" vertical="center" wrapText="1"/>
    </xf>
    <xf numFmtId="0" fontId="0" fillId="0" borderId="0" xfId="0" applyAlignment="1">
      <alignment horizontal="center"/>
    </xf>
    <xf numFmtId="0" fontId="0" fillId="0" borderId="9" xfId="0" applyBorder="1"/>
    <xf numFmtId="0" fontId="0" fillId="12" borderId="14" xfId="0" applyFill="1" applyBorder="1"/>
    <xf numFmtId="0" fontId="16" fillId="0" borderId="15" xfId="0" applyFont="1" applyBorder="1" applyAlignment="1">
      <alignment horizontal="center"/>
    </xf>
    <xf numFmtId="0" fontId="0" fillId="0" borderId="15" xfId="0" applyBorder="1" applyAlignment="1">
      <alignment horizontal="center"/>
    </xf>
    <xf numFmtId="0" fontId="16" fillId="0" borderId="0" xfId="0" applyFont="1"/>
    <xf numFmtId="0" fontId="16" fillId="14" borderId="0" xfId="0" applyFont="1" applyFill="1"/>
    <xf numFmtId="0" fontId="0" fillId="14" borderId="0" xfId="0" applyFill="1"/>
    <xf numFmtId="165" fontId="0" fillId="0" borderId="0" xfId="1" applyNumberFormat="1" applyFont="1"/>
    <xf numFmtId="165" fontId="0" fillId="0" borderId="0" xfId="0" applyNumberFormat="1"/>
    <xf numFmtId="9" fontId="0" fillId="0" borderId="0" xfId="2" applyFont="1"/>
    <xf numFmtId="0" fontId="16" fillId="0" borderId="0" xfId="0" applyFont="1" applyAlignment="1">
      <alignment wrapText="1"/>
    </xf>
    <xf numFmtId="0" fontId="16" fillId="15" borderId="0" xfId="0" applyFont="1" applyFill="1" applyAlignment="1">
      <alignment vertical="center"/>
    </xf>
    <xf numFmtId="0" fontId="0" fillId="0" borderId="0" xfId="0" applyAlignment="1">
      <alignment vertical="center"/>
    </xf>
    <xf numFmtId="3" fontId="0" fillId="0" borderId="0" xfId="0" applyNumberFormat="1"/>
    <xf numFmtId="3" fontId="20" fillId="3" borderId="4" xfId="0" applyNumberFormat="1" applyFont="1" applyFill="1" applyBorder="1" applyAlignment="1">
      <alignment horizontal="center" vertical="center" wrapText="1"/>
    </xf>
    <xf numFmtId="3" fontId="21" fillId="13" borderId="0" xfId="0" applyNumberFormat="1" applyFont="1" applyFill="1" applyAlignment="1">
      <alignment horizontal="right"/>
    </xf>
    <xf numFmtId="3" fontId="22" fillId="17" borderId="0" xfId="0" applyNumberFormat="1" applyFont="1" applyFill="1" applyAlignment="1">
      <alignment horizontal="right"/>
    </xf>
    <xf numFmtId="3" fontId="22" fillId="12" borderId="0" xfId="0" applyNumberFormat="1" applyFont="1" applyFill="1" applyAlignment="1">
      <alignment horizontal="right"/>
    </xf>
    <xf numFmtId="3" fontId="20" fillId="0" borderId="4" xfId="0" applyNumberFormat="1" applyFont="1" applyBorder="1" applyAlignment="1">
      <alignment horizontal="left" wrapText="1"/>
    </xf>
    <xf numFmtId="0" fontId="4" fillId="0" borderId="8" xfId="0" applyFont="1" applyBorder="1"/>
    <xf numFmtId="0" fontId="4" fillId="0" borderId="10" xfId="0" applyFont="1" applyBorder="1"/>
    <xf numFmtId="3" fontId="6" fillId="0" borderId="0" xfId="0" applyNumberFormat="1" applyFont="1" applyAlignment="1">
      <alignment horizontal="center" wrapText="1"/>
    </xf>
    <xf numFmtId="3" fontId="23" fillId="2" borderId="7" xfId="0" applyNumberFormat="1" applyFont="1" applyFill="1" applyBorder="1" applyAlignment="1">
      <alignment horizontal="center" vertical="center"/>
    </xf>
    <xf numFmtId="3" fontId="20" fillId="0" borderId="0" xfId="0" applyNumberFormat="1" applyFont="1" applyAlignment="1">
      <alignment horizontal="center"/>
    </xf>
    <xf numFmtId="3" fontId="6" fillId="0" borderId="0" xfId="0" applyNumberFormat="1" applyFont="1" applyAlignment="1">
      <alignment horizontal="center"/>
    </xf>
    <xf numFmtId="0" fontId="0" fillId="0" borderId="0" xfId="0"/>
    <xf numFmtId="3" fontId="10" fillId="7" borderId="1" xfId="0" applyNumberFormat="1" applyFont="1" applyFill="1" applyBorder="1" applyAlignment="1">
      <alignment horizontal="center"/>
    </xf>
    <xf numFmtId="0" fontId="4" fillId="0" borderId="2" xfId="0" applyFont="1" applyBorder="1"/>
    <xf numFmtId="3" fontId="6" fillId="0" borderId="0" xfId="0" applyNumberFormat="1" applyFont="1" applyAlignment="1">
      <alignment horizontal="center" vertical="top"/>
    </xf>
    <xf numFmtId="3" fontId="6" fillId="0" borderId="0" xfId="0" applyNumberFormat="1" applyFont="1" applyAlignment="1">
      <alignment horizontal="center" vertical="center" wrapText="1"/>
    </xf>
    <xf numFmtId="9" fontId="0" fillId="11" borderId="0" xfId="2" applyFont="1" applyFill="1" applyAlignment="1">
      <alignment horizontal="center" vertical="center"/>
    </xf>
    <xf numFmtId="0" fontId="16" fillId="15" borderId="0" xfId="0" applyFont="1" applyFill="1" applyAlignment="1">
      <alignment horizontal="center"/>
    </xf>
    <xf numFmtId="0" fontId="17" fillId="13" borderId="15" xfId="0" applyFont="1" applyFill="1" applyBorder="1" applyAlignment="1">
      <alignment horizontal="center"/>
    </xf>
    <xf numFmtId="9" fontId="16" fillId="9" borderId="0" xfId="2" applyFont="1" applyFill="1" applyAlignment="1">
      <alignment horizontal="center" vertical="center" wrapText="1"/>
    </xf>
    <xf numFmtId="9" fontId="0" fillId="9" borderId="0" xfId="2" applyFont="1" applyFill="1" applyAlignment="1">
      <alignment horizontal="center" vertical="center" wrapText="1"/>
    </xf>
    <xf numFmtId="0" fontId="17" fillId="13" borderId="0" xfId="0" applyFont="1" applyFill="1" applyAlignment="1">
      <alignment horizontal="center"/>
    </xf>
    <xf numFmtId="0" fontId="0" fillId="11" borderId="12" xfId="0" applyFill="1" applyBorder="1" applyAlignment="1">
      <alignment horizontal="center"/>
    </xf>
    <xf numFmtId="0" fontId="0" fillId="11" borderId="13" xfId="0" applyFill="1" applyBorder="1" applyAlignment="1">
      <alignment horizontal="center"/>
    </xf>
    <xf numFmtId="0" fontId="0" fillId="11" borderId="14" xfId="0" applyFill="1" applyBorder="1" applyAlignment="1">
      <alignment horizontal="center"/>
    </xf>
    <xf numFmtId="0" fontId="15" fillId="9" borderId="9" xfId="0" applyFont="1" applyFill="1" applyBorder="1" applyAlignment="1">
      <alignment horizontal="center" vertical="center"/>
    </xf>
    <xf numFmtId="0" fontId="0" fillId="11" borderId="12" xfId="0" applyFill="1" applyBorder="1" applyAlignment="1">
      <alignment horizontal="left"/>
    </xf>
    <xf numFmtId="0" fontId="0" fillId="11" borderId="13" xfId="0" applyFill="1" applyBorder="1" applyAlignment="1">
      <alignment horizontal="left"/>
    </xf>
    <xf numFmtId="0" fontId="0" fillId="12" borderId="13" xfId="0" applyFill="1" applyBorder="1" applyAlignment="1">
      <alignment horizontal="left"/>
    </xf>
    <xf numFmtId="0" fontId="0" fillId="12" borderId="14" xfId="0" applyFill="1" applyBorder="1" applyAlignment="1">
      <alignment horizontal="left"/>
    </xf>
    <xf numFmtId="0" fontId="16" fillId="15" borderId="0" xfId="0" applyFont="1" applyFill="1" applyAlignment="1">
      <alignment horizontal="center" vertical="center"/>
    </xf>
    <xf numFmtId="0" fontId="0" fillId="15" borderId="0" xfId="0" applyFill="1" applyAlignment="1">
      <alignment horizontal="center" vertical="center"/>
    </xf>
    <xf numFmtId="3" fontId="0" fillId="11" borderId="0" xfId="0" applyNumberFormat="1" applyFill="1" applyAlignment="1">
      <alignment horizontal="center"/>
    </xf>
    <xf numFmtId="3" fontId="0" fillId="16" borderId="0" xfId="0" applyNumberFormat="1" applyFill="1" applyAlignment="1">
      <alignment horizontal="center" vertical="center"/>
    </xf>
    <xf numFmtId="0" fontId="0" fillId="16" borderId="0" xfId="0" applyFill="1" applyAlignment="1">
      <alignment horizontal="center" vertical="center"/>
    </xf>
    <xf numFmtId="3" fontId="3" fillId="2" borderId="8" xfId="0" applyNumberFormat="1" applyFont="1" applyFill="1" applyBorder="1" applyAlignment="1">
      <alignment horizontal="center" vertical="center"/>
    </xf>
    <xf numFmtId="3" fontId="23" fillId="2" borderId="16" xfId="0" applyNumberFormat="1" applyFont="1" applyFill="1" applyBorder="1" applyAlignment="1">
      <alignment horizontal="center" vertical="center"/>
    </xf>
    <xf numFmtId="3" fontId="6" fillId="0" borderId="17" xfId="0" applyNumberFormat="1" applyFont="1" applyBorder="1"/>
    <xf numFmtId="0" fontId="4" fillId="0" borderId="18" xfId="0" applyFont="1" applyBorder="1" applyAlignment="1">
      <alignment horizontal="center"/>
    </xf>
    <xf numFmtId="0" fontId="4" fillId="0" borderId="19" xfId="0" applyFont="1" applyBorder="1" applyAlignment="1">
      <alignment horizontal="center"/>
    </xf>
    <xf numFmtId="3" fontId="6" fillId="0" borderId="11" xfId="0" applyNumberFormat="1" applyFont="1" applyBorder="1" applyAlignment="1">
      <alignment horizontal="left"/>
    </xf>
    <xf numFmtId="0" fontId="6" fillId="0" borderId="17" xfId="0" applyFont="1" applyBorder="1" applyAlignment="1">
      <alignment horizontal="left"/>
    </xf>
    <xf numFmtId="3" fontId="6" fillId="0" borderId="20" xfId="0" applyNumberFormat="1" applyFont="1" applyBorder="1" applyAlignment="1">
      <alignment horizontal="left"/>
    </xf>
    <xf numFmtId="3" fontId="6" fillId="0" borderId="20" xfId="0" applyNumberFormat="1" applyFont="1" applyBorder="1" applyAlignment="1">
      <alignment horizontal="center"/>
    </xf>
    <xf numFmtId="3" fontId="25" fillId="18" borderId="9" xfId="0" applyNumberFormat="1" applyFont="1" applyFill="1" applyBorder="1" applyAlignment="1">
      <alignment horizontal="center" vertical="center"/>
    </xf>
    <xf numFmtId="3" fontId="26" fillId="18" borderId="9" xfId="0" applyNumberFormat="1" applyFont="1" applyFill="1" applyBorder="1" applyAlignment="1">
      <alignment horizontal="center" vertical="center"/>
    </xf>
    <xf numFmtId="0" fontId="27" fillId="9" borderId="9" xfId="0" applyFont="1" applyFill="1" applyBorder="1"/>
    <xf numFmtId="0" fontId="28" fillId="9" borderId="9" xfId="3" applyFill="1" applyBorder="1"/>
    <xf numFmtId="14" fontId="27" fillId="9" borderId="9" xfId="0" applyNumberFormat="1" applyFont="1" applyFill="1" applyBorder="1"/>
    <xf numFmtId="3" fontId="6" fillId="9" borderId="7" xfId="0" applyNumberFormat="1" applyFont="1" applyFill="1" applyBorder="1" applyAlignment="1">
      <alignment horizontal="left"/>
    </xf>
    <xf numFmtId="3" fontId="20" fillId="12" borderId="9" xfId="0" applyNumberFormat="1" applyFont="1" applyFill="1" applyBorder="1" applyAlignment="1">
      <alignment horizontal="right"/>
    </xf>
    <xf numFmtId="3" fontId="22" fillId="12" borderId="9" xfId="0" applyNumberFormat="1" applyFont="1" applyFill="1" applyBorder="1" applyAlignment="1">
      <alignment horizontal="right"/>
    </xf>
    <xf numFmtId="3" fontId="20" fillId="10" borderId="9" xfId="0" applyNumberFormat="1" applyFont="1" applyFill="1" applyBorder="1" applyAlignment="1">
      <alignment horizontal="right"/>
    </xf>
    <xf numFmtId="3" fontId="24" fillId="10" borderId="9" xfId="0" applyNumberFormat="1" applyFont="1" applyFill="1" applyBorder="1" applyAlignment="1">
      <alignment horizontal="right"/>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96-4A03-91F2-549E843BDF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96-4A03-91F2-549E843BDF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96-4A03-91F2-549E843BDF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696-4A03-91F2-549E843BDFFA}"/>
              </c:ext>
            </c:extLst>
          </c:dPt>
          <c:cat>
            <c:strRef>
              <c:f>DASHBOARD!$U$16:$U$19</c:f>
              <c:strCache>
                <c:ptCount val="4"/>
                <c:pt idx="0">
                  <c:v>Sự kiện</c:v>
                </c:pt>
                <c:pt idx="1">
                  <c:v>Tour</c:v>
                </c:pt>
                <c:pt idx="2">
                  <c:v>Xe</c:v>
                </c:pt>
                <c:pt idx="3">
                  <c:v>Vé lẻ</c:v>
                </c:pt>
              </c:strCache>
            </c:strRef>
          </c:cat>
          <c:val>
            <c:numRef>
              <c:f>DASHBOARD!$V$16:$V$19</c:f>
              <c:numCache>
                <c:formatCode>_-* #,##0_-;\-* #,##0_-;_-* "-"??_-;_-@_-</c:formatCode>
                <c:ptCount val="4"/>
                <c:pt idx="0">
                  <c:v>1200000000</c:v>
                </c:pt>
                <c:pt idx="1">
                  <c:v>5000000000</c:v>
                </c:pt>
                <c:pt idx="2">
                  <c:v>2500000000</c:v>
                </c:pt>
                <c:pt idx="3">
                  <c:v>2000000000</c:v>
                </c:pt>
              </c:numCache>
            </c:numRef>
          </c:val>
          <c:extLst>
            <c:ext xmlns:c16="http://schemas.microsoft.com/office/drawing/2014/chart" uri="{C3380CC4-5D6E-409C-BE32-E72D297353CC}">
              <c16:uniqueId val="{00000000-AE4F-4231-B6B3-9C8F2BFDDFB1}"/>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9-8696-4A03-91F2-549E843BDF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8696-4A03-91F2-549E843BDF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8696-4A03-91F2-549E843BDF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8696-4A03-91F2-549E843BDFFA}"/>
              </c:ext>
            </c:extLst>
          </c:dPt>
          <c:cat>
            <c:strRef>
              <c:f>DASHBOARD!$U$16:$U$19</c:f>
              <c:strCache>
                <c:ptCount val="4"/>
                <c:pt idx="0">
                  <c:v>Sự kiện</c:v>
                </c:pt>
                <c:pt idx="1">
                  <c:v>Tour</c:v>
                </c:pt>
                <c:pt idx="2">
                  <c:v>Xe</c:v>
                </c:pt>
                <c:pt idx="3">
                  <c:v>Vé lẻ</c:v>
                </c:pt>
              </c:strCache>
            </c:strRef>
          </c:cat>
          <c:val>
            <c:numRef>
              <c:f>DASHBOARD!$W$16:$W$19</c:f>
              <c:numCache>
                <c:formatCode>0%</c:formatCode>
                <c:ptCount val="4"/>
                <c:pt idx="0">
                  <c:v>0.11214953271028037</c:v>
                </c:pt>
                <c:pt idx="1">
                  <c:v>0.46728971962616822</c:v>
                </c:pt>
                <c:pt idx="2">
                  <c:v>0.23364485981308411</c:v>
                </c:pt>
                <c:pt idx="3">
                  <c:v>0.18691588785046728</c:v>
                </c:pt>
              </c:numCache>
            </c:numRef>
          </c:val>
          <c:extLst>
            <c:ext xmlns:c16="http://schemas.microsoft.com/office/drawing/2014/chart" uri="{C3380CC4-5D6E-409C-BE32-E72D297353CC}">
              <c16:uniqueId val="{00000001-AE4F-4231-B6B3-9C8F2BFDDFB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pieChart>
        <c:varyColors val="1"/>
        <c:ser>
          <c:idx val="0"/>
          <c:order val="0"/>
          <c:tx>
            <c:strRef>
              <c:f>DASHBOARD!$AU$15</c:f>
              <c:strCache>
                <c:ptCount val="1"/>
                <c:pt idx="0">
                  <c:v>Số lượng khách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F3-41FA-A5D3-7F0BB5B947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F3-41FA-A5D3-7F0BB5B947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F3-41FA-A5D3-7F0BB5B947F6}"/>
              </c:ext>
            </c:extLst>
          </c:dPt>
          <c:cat>
            <c:strRef>
              <c:f>DASHBOARD!$AT$16:$AT$18</c:f>
              <c:strCache>
                <c:ptCount val="3"/>
                <c:pt idx="0">
                  <c:v>NỘI ĐỊA</c:v>
                </c:pt>
                <c:pt idx="1">
                  <c:v>INBOUND</c:v>
                </c:pt>
                <c:pt idx="2">
                  <c:v>OUTBOUND</c:v>
                </c:pt>
              </c:strCache>
            </c:strRef>
          </c:cat>
          <c:val>
            <c:numRef>
              <c:f>DASHBOARD!$AU$16:$AU$18</c:f>
              <c:numCache>
                <c:formatCode>_-* #,##0_-;\-* #,##0_-;_-* "-"??_-;_-@_-</c:formatCode>
                <c:ptCount val="3"/>
                <c:pt idx="0">
                  <c:v>2000</c:v>
                </c:pt>
                <c:pt idx="1">
                  <c:v>2500</c:v>
                </c:pt>
                <c:pt idx="2">
                  <c:v>800</c:v>
                </c:pt>
              </c:numCache>
            </c:numRef>
          </c:val>
          <c:extLst>
            <c:ext xmlns:c16="http://schemas.microsoft.com/office/drawing/2014/chart" uri="{C3380CC4-5D6E-409C-BE32-E72D297353CC}">
              <c16:uniqueId val="{00000000-AA32-40B0-8798-671953000E5D}"/>
            </c:ext>
          </c:extLst>
        </c:ser>
        <c:ser>
          <c:idx val="1"/>
          <c:order val="1"/>
          <c:tx>
            <c:strRef>
              <c:f>DASHBOARD!$AV$15</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52F3-41FA-A5D3-7F0BB5B947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52F3-41FA-A5D3-7F0BB5B947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52F3-41FA-A5D3-7F0BB5B947F6}"/>
              </c:ext>
            </c:extLst>
          </c:dPt>
          <c:cat>
            <c:strRef>
              <c:f>DASHBOARD!$AT$16:$AT$18</c:f>
              <c:strCache>
                <c:ptCount val="3"/>
                <c:pt idx="0">
                  <c:v>NỘI ĐỊA</c:v>
                </c:pt>
                <c:pt idx="1">
                  <c:v>INBOUND</c:v>
                </c:pt>
                <c:pt idx="2">
                  <c:v>OUTBOUND</c:v>
                </c:pt>
              </c:strCache>
            </c:strRef>
          </c:cat>
          <c:val>
            <c:numRef>
              <c:f>DASHBOARD!$AV$16:$AV$18</c:f>
              <c:numCache>
                <c:formatCode>0%</c:formatCode>
                <c:ptCount val="3"/>
                <c:pt idx="0">
                  <c:v>0.37735849056603776</c:v>
                </c:pt>
                <c:pt idx="1">
                  <c:v>0.47169811320754718</c:v>
                </c:pt>
                <c:pt idx="2">
                  <c:v>0.15094339622641509</c:v>
                </c:pt>
              </c:numCache>
            </c:numRef>
          </c:val>
          <c:extLst>
            <c:ext xmlns:c16="http://schemas.microsoft.com/office/drawing/2014/chart" uri="{C3380CC4-5D6E-409C-BE32-E72D297353CC}">
              <c16:uniqueId val="{00000001-AA32-40B0-8798-671953000E5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DASHBOARD!$AX$15</c:f>
              <c:strCache>
                <c:ptCount val="1"/>
                <c:pt idx="0">
                  <c:v>Doanh thu</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676-4207-9FB1-4DB5F00E59C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676-4207-9FB1-4DB5F00E59C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676-4207-9FB1-4DB5F00E59C3}"/>
              </c:ext>
            </c:extLst>
          </c:dPt>
          <c:cat>
            <c:strRef>
              <c:f>DASHBOARD!$AW$16:$AW$18</c:f>
              <c:strCache>
                <c:ptCount val="3"/>
                <c:pt idx="0">
                  <c:v>NỘI ĐỊA</c:v>
                </c:pt>
                <c:pt idx="1">
                  <c:v>INBOUND</c:v>
                </c:pt>
                <c:pt idx="2">
                  <c:v>OUTBOUND</c:v>
                </c:pt>
              </c:strCache>
            </c:strRef>
          </c:cat>
          <c:val>
            <c:numRef>
              <c:f>DASHBOARD!$AX$16:$AX$18</c:f>
              <c:numCache>
                <c:formatCode>General</c:formatCode>
                <c:ptCount val="3"/>
                <c:pt idx="0">
                  <c:v>7000000000</c:v>
                </c:pt>
                <c:pt idx="1">
                  <c:v>2500000000</c:v>
                </c:pt>
                <c:pt idx="2">
                  <c:v>1200000000</c:v>
                </c:pt>
              </c:numCache>
            </c:numRef>
          </c:val>
          <c:extLst>
            <c:ext xmlns:c16="http://schemas.microsoft.com/office/drawing/2014/chart" uri="{C3380CC4-5D6E-409C-BE32-E72D297353CC}">
              <c16:uniqueId val="{00000000-DA5F-446B-8814-29EBE102FC63}"/>
            </c:ext>
          </c:extLst>
        </c:ser>
        <c:ser>
          <c:idx val="1"/>
          <c:order val="1"/>
          <c:tx>
            <c:strRef>
              <c:f>DASHBOARD!$AY$15</c:f>
              <c:strCache>
                <c:ptCount val="1"/>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B676-4207-9FB1-4DB5F00E59C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B676-4207-9FB1-4DB5F00E59C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B676-4207-9FB1-4DB5F00E59C3}"/>
              </c:ext>
            </c:extLst>
          </c:dPt>
          <c:cat>
            <c:strRef>
              <c:f>DASHBOARD!$AW$16:$AW$18</c:f>
              <c:strCache>
                <c:ptCount val="3"/>
                <c:pt idx="0">
                  <c:v>NỘI ĐỊA</c:v>
                </c:pt>
                <c:pt idx="1">
                  <c:v>INBOUND</c:v>
                </c:pt>
                <c:pt idx="2">
                  <c:v>OUTBOUND</c:v>
                </c:pt>
              </c:strCache>
            </c:strRef>
          </c:cat>
          <c:val>
            <c:numRef>
              <c:f>DASHBOARD!$AY$16:$AY$18</c:f>
              <c:numCache>
                <c:formatCode>0%</c:formatCode>
                <c:ptCount val="3"/>
                <c:pt idx="0">
                  <c:v>0.65420560747663548</c:v>
                </c:pt>
                <c:pt idx="1">
                  <c:v>0.23364485981308411</c:v>
                </c:pt>
                <c:pt idx="2">
                  <c:v>0.11214953271028037</c:v>
                </c:pt>
              </c:numCache>
            </c:numRef>
          </c:val>
          <c:extLst>
            <c:ext xmlns:c16="http://schemas.microsoft.com/office/drawing/2014/chart" uri="{C3380CC4-5D6E-409C-BE32-E72D297353CC}">
              <c16:uniqueId val="{00000001-DA5F-446B-8814-29EBE102FC63}"/>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934325" cy="11430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20</xdr:col>
      <xdr:colOff>15240</xdr:colOff>
      <xdr:row>3</xdr:row>
      <xdr:rowOff>68580</xdr:rowOff>
    </xdr:from>
    <xdr:to>
      <xdr:col>23</xdr:col>
      <xdr:colOff>182880</xdr:colOff>
      <xdr:row>13</xdr:row>
      <xdr:rowOff>106680</xdr:rowOff>
    </xdr:to>
    <xdr:graphicFrame macro="">
      <xdr:nvGraphicFramePr>
        <xdr:cNvPr id="3" name="Chart 2">
          <a:extLst>
            <a:ext uri="{FF2B5EF4-FFF2-40B4-BE49-F238E27FC236}">
              <a16:creationId xmlns:a16="http://schemas.microsoft.com/office/drawing/2014/main" id="{F1804C07-3F3F-FCF4-E9F0-EB4E3698C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45</xdr:col>
      <xdr:colOff>3810</xdr:colOff>
      <xdr:row>2</xdr:row>
      <xdr:rowOff>106680</xdr:rowOff>
    </xdr:from>
    <xdr:to>
      <xdr:col>47</xdr:col>
      <xdr:colOff>716280</xdr:colOff>
      <xdr:row>12</xdr:row>
      <xdr:rowOff>68580</xdr:rowOff>
    </xdr:to>
    <xdr:graphicFrame macro="">
      <xdr:nvGraphicFramePr>
        <xdr:cNvPr id="6" name="Chart 5">
          <a:extLst>
            <a:ext uri="{FF2B5EF4-FFF2-40B4-BE49-F238E27FC236}">
              <a16:creationId xmlns:a16="http://schemas.microsoft.com/office/drawing/2014/main" id="{7B9B2C11-D8A7-DCA0-5468-899C31784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47</xdr:col>
      <xdr:colOff>880110</xdr:colOff>
      <xdr:row>3</xdr:row>
      <xdr:rowOff>38100</xdr:rowOff>
    </xdr:from>
    <xdr:to>
      <xdr:col>50</xdr:col>
      <xdr:colOff>891540</xdr:colOff>
      <xdr:row>12</xdr:row>
      <xdr:rowOff>76200</xdr:rowOff>
    </xdr:to>
    <xdr:graphicFrame macro="">
      <xdr:nvGraphicFramePr>
        <xdr:cNvPr id="8" name="Chart 7">
          <a:extLst>
            <a:ext uri="{FF2B5EF4-FFF2-40B4-BE49-F238E27FC236}">
              <a16:creationId xmlns:a16="http://schemas.microsoft.com/office/drawing/2014/main" id="{5E652832-CF8D-82BB-9761-68A9BD213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nguyenvana@gmail.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15"/>
  <sheetViews>
    <sheetView workbookViewId="0">
      <selection activeCell="H27" sqref="H27"/>
    </sheetView>
  </sheetViews>
  <sheetFormatPr defaultColWidth="12.59765625" defaultRowHeight="15" customHeight="1" x14ac:dyDescent="0.25"/>
  <cols>
    <col min="1" max="1" width="4.19921875" customWidth="1"/>
    <col min="2" max="2" width="30.59765625" customWidth="1"/>
    <col min="3" max="3" width="18.19921875" customWidth="1"/>
    <col min="4" max="4" width="15.3984375" customWidth="1"/>
    <col min="5" max="5" width="17" customWidth="1"/>
    <col min="6" max="6" width="18.296875" customWidth="1"/>
    <col min="7" max="9" width="22.59765625" customWidth="1"/>
    <col min="10" max="11" width="8.59765625" customWidth="1"/>
    <col min="12" max="12" width="11.5" customWidth="1"/>
    <col min="13" max="13" width="11.8984375" customWidth="1"/>
    <col min="14" max="14" width="12.09765625" customWidth="1"/>
    <col min="15" max="26" width="8.59765625" customWidth="1"/>
  </cols>
  <sheetData>
    <row r="1" spans="1:14" ht="13.5" customHeight="1" x14ac:dyDescent="0.25">
      <c r="B1" s="1"/>
      <c r="E1" s="2"/>
      <c r="N1" s="3"/>
    </row>
    <row r="2" spans="1:14" ht="13.5" customHeight="1" x14ac:dyDescent="0.25">
      <c r="B2" s="1"/>
      <c r="E2" s="2"/>
      <c r="N2" s="3"/>
    </row>
    <row r="3" spans="1:14" ht="13.5" customHeight="1" x14ac:dyDescent="0.25">
      <c r="B3" s="1"/>
      <c r="E3" s="2"/>
      <c r="N3" s="3"/>
    </row>
    <row r="4" spans="1:14" ht="13.5" customHeight="1" x14ac:dyDescent="0.25">
      <c r="B4" s="1"/>
      <c r="E4" s="2"/>
      <c r="N4" s="3"/>
    </row>
    <row r="5" spans="1:14" ht="13.5" customHeight="1" x14ac:dyDescent="0.25">
      <c r="B5" s="1"/>
      <c r="E5" s="2"/>
      <c r="N5" s="3"/>
    </row>
    <row r="6" spans="1:14" ht="13.5" customHeight="1" x14ac:dyDescent="0.25">
      <c r="B6" s="1"/>
      <c r="E6" s="2"/>
      <c r="N6" s="3"/>
    </row>
    <row r="7" spans="1:14" ht="13.5" customHeight="1" x14ac:dyDescent="0.25">
      <c r="B7" s="1"/>
      <c r="E7" s="2"/>
      <c r="N7" s="3"/>
    </row>
    <row r="8" spans="1:14" ht="13.5" customHeight="1" x14ac:dyDescent="0.25">
      <c r="B8" s="1"/>
      <c r="E8" s="2"/>
      <c r="N8" s="3"/>
    </row>
    <row r="9" spans="1:14" ht="33" customHeight="1" x14ac:dyDescent="0.25">
      <c r="A9" s="122" t="s">
        <v>0</v>
      </c>
      <c r="B9" s="149"/>
      <c r="C9" s="149"/>
      <c r="D9" s="150" t="s">
        <v>121</v>
      </c>
      <c r="E9" s="149"/>
      <c r="F9" s="149"/>
      <c r="G9" s="119"/>
      <c r="H9" s="119"/>
      <c r="I9" s="120"/>
      <c r="N9" s="3"/>
    </row>
    <row r="10" spans="1:14" ht="33" customHeight="1" x14ac:dyDescent="0.25">
      <c r="A10" s="4"/>
      <c r="B10" s="158" t="s">
        <v>129</v>
      </c>
      <c r="C10" s="158" t="s">
        <v>130</v>
      </c>
      <c r="D10" s="159" t="s">
        <v>126</v>
      </c>
      <c r="E10" s="158">
        <v>974231555</v>
      </c>
      <c r="F10" s="158" t="s">
        <v>127</v>
      </c>
      <c r="G10" s="161" t="s">
        <v>131</v>
      </c>
      <c r="H10" s="160" t="s">
        <v>128</v>
      </c>
      <c r="I10" s="162">
        <v>44062</v>
      </c>
      <c r="N10" s="3"/>
    </row>
    <row r="11" spans="1:14" ht="25.8" customHeight="1" x14ac:dyDescent="0.25">
      <c r="A11" s="4"/>
      <c r="B11" s="151" t="s">
        <v>40</v>
      </c>
      <c r="C11" s="152" t="s">
        <v>41</v>
      </c>
      <c r="D11" s="153"/>
      <c r="E11" s="154" t="s">
        <v>1</v>
      </c>
      <c r="F11" s="155" t="s">
        <v>42</v>
      </c>
      <c r="G11" s="156" t="s">
        <v>2</v>
      </c>
      <c r="H11" s="157" t="s">
        <v>43</v>
      </c>
      <c r="I11" s="157"/>
      <c r="N11" s="3"/>
    </row>
    <row r="12" spans="1:14" ht="15.75" customHeight="1" x14ac:dyDescent="0.3">
      <c r="A12" s="4"/>
      <c r="B12" s="76" t="s">
        <v>44</v>
      </c>
      <c r="C12" s="77">
        <v>30</v>
      </c>
      <c r="D12" s="78"/>
      <c r="E12" s="79" t="s">
        <v>3</v>
      </c>
      <c r="F12" s="80">
        <v>4500000</v>
      </c>
      <c r="G12" s="7"/>
      <c r="H12" s="8"/>
      <c r="I12" s="8"/>
      <c r="N12" s="3"/>
    </row>
    <row r="13" spans="1:14" ht="15.75" customHeight="1" x14ac:dyDescent="0.3">
      <c r="A13" s="4"/>
      <c r="B13" s="76" t="s">
        <v>45</v>
      </c>
      <c r="C13" s="77">
        <v>2</v>
      </c>
      <c r="D13" s="78"/>
      <c r="E13" s="79" t="s">
        <v>48</v>
      </c>
      <c r="F13" s="163">
        <f>F12*70%</f>
        <v>3150000</v>
      </c>
      <c r="G13" s="164" t="s">
        <v>123</v>
      </c>
      <c r="H13" s="165" t="s">
        <v>124</v>
      </c>
      <c r="I13" s="8"/>
      <c r="N13" s="3"/>
    </row>
    <row r="14" spans="1:14" ht="15.75" customHeight="1" x14ac:dyDescent="0.3">
      <c r="A14" s="4"/>
      <c r="B14" s="76" t="s">
        <v>46</v>
      </c>
      <c r="C14" s="77">
        <v>2</v>
      </c>
      <c r="D14" s="78"/>
      <c r="E14" s="79" t="s">
        <v>49</v>
      </c>
      <c r="F14" s="79">
        <f>F12*50%</f>
        <v>2250000</v>
      </c>
      <c r="G14" s="7"/>
      <c r="H14" s="8"/>
      <c r="I14" s="8"/>
      <c r="N14" s="3"/>
    </row>
    <row r="15" spans="1:14" ht="15.75" customHeight="1" x14ac:dyDescent="0.3">
      <c r="A15" s="4"/>
      <c r="B15" s="76" t="s">
        <v>47</v>
      </c>
      <c r="C15" s="77">
        <v>2</v>
      </c>
      <c r="D15" s="78"/>
      <c r="E15" s="79" t="s">
        <v>50</v>
      </c>
      <c r="F15" s="163">
        <v>0</v>
      </c>
      <c r="G15" s="166" t="s">
        <v>125</v>
      </c>
      <c r="H15" s="167" t="s">
        <v>109</v>
      </c>
      <c r="I15" s="8"/>
      <c r="N15" s="3"/>
    </row>
    <row r="16" spans="1:14" ht="15.75" customHeight="1" x14ac:dyDescent="0.25">
      <c r="A16" s="4"/>
      <c r="B16" s="118" t="s">
        <v>119</v>
      </c>
      <c r="C16" s="6">
        <f>C12*F12+C13*F13+C14*F14+C15*F15</f>
        <v>145800000</v>
      </c>
      <c r="D16" s="9">
        <f>C17/C12</f>
        <v>902839.32098765473</v>
      </c>
      <c r="E16" s="5"/>
      <c r="F16" s="9"/>
      <c r="G16" s="10"/>
      <c r="H16" s="4"/>
      <c r="I16" s="4"/>
      <c r="N16" s="3"/>
    </row>
    <row r="17" spans="1:15" ht="15.75" customHeight="1" x14ac:dyDescent="0.25">
      <c r="A17" s="4"/>
      <c r="B17" s="118" t="s">
        <v>120</v>
      </c>
      <c r="C17" s="6">
        <f>G57</f>
        <v>27085179.629629642</v>
      </c>
      <c r="D17" s="11">
        <f>G58</f>
        <v>0.20063096021947882</v>
      </c>
      <c r="E17" s="5"/>
      <c r="F17" s="9"/>
      <c r="G17" s="10"/>
      <c r="H17" s="8"/>
      <c r="I17" s="8"/>
      <c r="N17" s="3"/>
    </row>
    <row r="18" spans="1:15" ht="15.75" customHeight="1" x14ac:dyDescent="0.25">
      <c r="A18" s="12" t="s">
        <v>4</v>
      </c>
      <c r="B18" s="13" t="s">
        <v>5</v>
      </c>
      <c r="C18" s="13" t="s">
        <v>6</v>
      </c>
      <c r="D18" s="12" t="s">
        <v>7</v>
      </c>
      <c r="E18" s="12" t="s">
        <v>8</v>
      </c>
      <c r="F18" s="12" t="s">
        <v>9</v>
      </c>
      <c r="G18" s="13" t="s">
        <v>10</v>
      </c>
      <c r="H18" s="114" t="s">
        <v>115</v>
      </c>
      <c r="I18" s="8"/>
      <c r="N18" s="3"/>
    </row>
    <row r="19" spans="1:15" ht="13.5" customHeight="1" x14ac:dyDescent="0.25">
      <c r="A19" s="14"/>
      <c r="B19" s="15"/>
      <c r="C19" s="16"/>
      <c r="D19" s="17"/>
      <c r="E19" s="18"/>
      <c r="F19" s="17"/>
      <c r="G19" s="17"/>
      <c r="H19" s="8"/>
      <c r="I19" s="8"/>
      <c r="N19" s="3"/>
    </row>
    <row r="20" spans="1:15" ht="13.5" customHeight="1" x14ac:dyDescent="0.25">
      <c r="A20" s="19" t="s">
        <v>11</v>
      </c>
      <c r="B20" s="20" t="s">
        <v>12</v>
      </c>
      <c r="C20" s="21"/>
      <c r="D20" s="22"/>
      <c r="E20" s="23"/>
      <c r="F20" s="24"/>
      <c r="G20" s="24"/>
      <c r="H20" s="8"/>
      <c r="I20" s="8"/>
      <c r="N20" s="3"/>
    </row>
    <row r="21" spans="1:15" ht="22.2" customHeight="1" x14ac:dyDescent="0.25">
      <c r="A21" s="81" t="s">
        <v>13</v>
      </c>
      <c r="B21" s="82" t="s">
        <v>14</v>
      </c>
      <c r="C21" s="98" t="s">
        <v>73</v>
      </c>
      <c r="D21" s="83"/>
      <c r="E21" s="84"/>
      <c r="F21" s="85"/>
      <c r="G21" s="85"/>
      <c r="H21" s="8"/>
      <c r="I21" s="8"/>
      <c r="N21" s="3"/>
    </row>
    <row r="22" spans="1:15" ht="26.25" customHeight="1" x14ac:dyDescent="0.25">
      <c r="A22" s="92"/>
      <c r="B22" s="93" t="s">
        <v>53</v>
      </c>
      <c r="C22" s="94"/>
      <c r="D22" s="95">
        <f>$C$12</f>
        <v>30</v>
      </c>
      <c r="E22" s="96">
        <v>1</v>
      </c>
      <c r="F22" s="97">
        <v>80000</v>
      </c>
      <c r="G22" s="97">
        <f>F22*D22*E22</f>
        <v>2400000</v>
      </c>
      <c r="H22" s="115" t="s">
        <v>116</v>
      </c>
      <c r="I22" s="8"/>
      <c r="M22" s="31"/>
      <c r="N22" s="3"/>
    </row>
    <row r="23" spans="1:15" ht="26.25" customHeight="1" x14ac:dyDescent="0.25">
      <c r="A23" s="92"/>
      <c r="B23" s="93" t="s">
        <v>54</v>
      </c>
      <c r="C23" s="94"/>
      <c r="D23" s="95">
        <v>4</v>
      </c>
      <c r="E23" s="96">
        <v>1</v>
      </c>
      <c r="F23" s="97">
        <v>60000</v>
      </c>
      <c r="G23" s="97">
        <f>F23*D23*E23</f>
        <v>240000</v>
      </c>
      <c r="H23" s="116" t="s">
        <v>117</v>
      </c>
      <c r="I23" s="8"/>
      <c r="M23" s="31"/>
      <c r="N23" s="3"/>
    </row>
    <row r="24" spans="1:15" ht="26.25" customHeight="1" x14ac:dyDescent="0.25">
      <c r="A24" s="92"/>
      <c r="B24" s="93" t="s">
        <v>51</v>
      </c>
      <c r="C24" s="94"/>
      <c r="D24" s="95">
        <f>$C$12</f>
        <v>30</v>
      </c>
      <c r="E24" s="96">
        <v>1</v>
      </c>
      <c r="F24" s="97">
        <v>80000</v>
      </c>
      <c r="G24" s="97">
        <f>F24*D24*E24</f>
        <v>2400000</v>
      </c>
      <c r="H24" s="117" t="s">
        <v>118</v>
      </c>
      <c r="I24" s="8"/>
      <c r="M24" s="31"/>
      <c r="N24" s="3"/>
    </row>
    <row r="25" spans="1:15" ht="26.25" customHeight="1" x14ac:dyDescent="0.25">
      <c r="A25" s="92"/>
      <c r="B25" s="93" t="s">
        <v>52</v>
      </c>
      <c r="C25" s="94"/>
      <c r="D25" s="95">
        <f>$C$12</f>
        <v>30</v>
      </c>
      <c r="E25" s="96">
        <v>1</v>
      </c>
      <c r="F25" s="97">
        <v>1150000</v>
      </c>
      <c r="G25" s="97">
        <f>F25*D25*E25</f>
        <v>34500000</v>
      </c>
      <c r="H25" s="8"/>
      <c r="I25" s="8"/>
      <c r="M25" s="31"/>
      <c r="N25" s="3"/>
    </row>
    <row r="26" spans="1:15" ht="26.25" customHeight="1" x14ac:dyDescent="0.25">
      <c r="A26" s="92"/>
      <c r="B26" s="93" t="s">
        <v>55</v>
      </c>
      <c r="C26" s="94"/>
      <c r="D26" s="95">
        <v>4</v>
      </c>
      <c r="E26" s="96">
        <v>1</v>
      </c>
      <c r="F26" s="97">
        <v>950000</v>
      </c>
      <c r="G26" s="97">
        <f>F26*D26*E26</f>
        <v>3800000</v>
      </c>
      <c r="H26" s="8"/>
      <c r="I26" s="8"/>
      <c r="M26" s="31"/>
      <c r="N26" s="3"/>
    </row>
    <row r="27" spans="1:15" ht="26.25" customHeight="1" x14ac:dyDescent="0.25">
      <c r="A27" s="86" t="s">
        <v>15</v>
      </c>
      <c r="B27" s="87" t="s">
        <v>16</v>
      </c>
      <c r="C27" s="88"/>
      <c r="D27" s="89"/>
      <c r="E27" s="90"/>
      <c r="F27" s="91"/>
      <c r="G27" s="91"/>
      <c r="H27" s="8"/>
      <c r="I27" s="8"/>
      <c r="N27" s="3"/>
    </row>
    <row r="28" spans="1:15" ht="18" customHeight="1" x14ac:dyDescent="0.25">
      <c r="A28" s="35">
        <v>1</v>
      </c>
      <c r="B28" s="36" t="s">
        <v>56</v>
      </c>
      <c r="C28" s="37" t="s">
        <v>57</v>
      </c>
      <c r="D28" s="38">
        <f>$C$12/2</f>
        <v>15</v>
      </c>
      <c r="E28" s="39">
        <v>1</v>
      </c>
      <c r="F28" s="40">
        <v>1000000</v>
      </c>
      <c r="G28" s="40">
        <f>F28*D28*E28</f>
        <v>15000000</v>
      </c>
      <c r="H28" s="8"/>
      <c r="I28" s="8"/>
      <c r="K28" s="31"/>
      <c r="N28" s="3"/>
    </row>
    <row r="29" spans="1:15" ht="18" customHeight="1" x14ac:dyDescent="0.25">
      <c r="A29" s="35"/>
      <c r="B29" s="36" t="s">
        <v>58</v>
      </c>
      <c r="C29" s="37" t="s">
        <v>59</v>
      </c>
      <c r="D29" s="38">
        <f>$C$12/2</f>
        <v>15</v>
      </c>
      <c r="E29" s="39">
        <v>1</v>
      </c>
      <c r="F29" s="40">
        <v>950000</v>
      </c>
      <c r="G29" s="40">
        <f>F29*D29*E29</f>
        <v>14250000</v>
      </c>
      <c r="H29" s="8"/>
      <c r="I29" s="8"/>
      <c r="K29" s="31"/>
      <c r="N29" s="3"/>
    </row>
    <row r="30" spans="1:15" ht="18" customHeight="1" x14ac:dyDescent="0.25">
      <c r="A30" s="25" t="s">
        <v>15</v>
      </c>
      <c r="B30" s="26" t="s">
        <v>17</v>
      </c>
      <c r="C30" s="27"/>
      <c r="D30" s="28"/>
      <c r="E30" s="29"/>
      <c r="F30" s="30"/>
      <c r="G30" s="30"/>
      <c r="H30" s="8"/>
      <c r="I30" s="8"/>
      <c r="N30" s="3"/>
    </row>
    <row r="31" spans="1:15" ht="26.25" customHeight="1" x14ac:dyDescent="0.25">
      <c r="A31" s="35">
        <v>1</v>
      </c>
      <c r="B31" s="36" t="s">
        <v>60</v>
      </c>
      <c r="C31" s="37" t="s">
        <v>61</v>
      </c>
      <c r="D31" s="38">
        <f>$C$12</f>
        <v>30</v>
      </c>
      <c r="E31" s="39">
        <v>1</v>
      </c>
      <c r="F31" s="40">
        <v>200000</v>
      </c>
      <c r="G31" s="40">
        <f>F31*D31*E31</f>
        <v>6000000</v>
      </c>
      <c r="H31" s="8"/>
      <c r="I31" s="8"/>
      <c r="N31" s="3"/>
      <c r="O31" s="31"/>
    </row>
    <row r="32" spans="1:15" ht="26.25" customHeight="1" x14ac:dyDescent="0.25">
      <c r="A32" s="35"/>
      <c r="B32" s="36"/>
      <c r="C32" s="37"/>
      <c r="D32" s="38">
        <f>$C$13</f>
        <v>2</v>
      </c>
      <c r="E32" s="39">
        <v>1</v>
      </c>
      <c r="F32" s="40">
        <v>200001</v>
      </c>
      <c r="G32" s="40">
        <f t="shared" ref="G32:G33" si="0">F32*D32*E32</f>
        <v>400002</v>
      </c>
      <c r="H32" s="8"/>
      <c r="I32" s="8"/>
      <c r="N32" s="3"/>
      <c r="O32" s="31"/>
    </row>
    <row r="33" spans="1:15" ht="26.25" customHeight="1" x14ac:dyDescent="0.25">
      <c r="A33" s="35"/>
      <c r="B33" s="36"/>
      <c r="C33" s="37"/>
      <c r="D33" s="38">
        <f>$C$14</f>
        <v>2</v>
      </c>
      <c r="E33" s="39">
        <v>1</v>
      </c>
      <c r="F33" s="40">
        <v>200002</v>
      </c>
      <c r="G33" s="40">
        <f t="shared" si="0"/>
        <v>400004</v>
      </c>
      <c r="H33" s="8"/>
      <c r="I33" s="8"/>
      <c r="N33" s="3"/>
      <c r="O33" s="31"/>
    </row>
    <row r="34" spans="1:15" ht="26.25" customHeight="1" x14ac:dyDescent="0.25">
      <c r="A34" s="35"/>
      <c r="B34" s="36"/>
      <c r="C34" s="37"/>
      <c r="D34" s="38">
        <f>$C$15</f>
        <v>2</v>
      </c>
      <c r="E34" s="39">
        <v>1</v>
      </c>
      <c r="F34" s="40"/>
      <c r="G34" s="40"/>
      <c r="H34" s="8"/>
      <c r="I34" s="8"/>
      <c r="N34" s="3"/>
      <c r="O34" s="31"/>
    </row>
    <row r="35" spans="1:15" ht="26.25" customHeight="1" x14ac:dyDescent="0.25">
      <c r="A35" s="35"/>
      <c r="B35" s="36" t="s">
        <v>62</v>
      </c>
      <c r="C35" s="37" t="s">
        <v>63</v>
      </c>
      <c r="D35" s="38">
        <f>30</f>
        <v>30</v>
      </c>
      <c r="E35" s="39">
        <v>1</v>
      </c>
      <c r="F35" s="40">
        <v>200000</v>
      </c>
      <c r="G35" s="40">
        <f>F35*D35*E35</f>
        <v>6000000</v>
      </c>
      <c r="H35" s="8"/>
      <c r="I35" s="8"/>
      <c r="N35" s="3"/>
      <c r="O35" s="31"/>
    </row>
    <row r="36" spans="1:15" ht="26.25" customHeight="1" x14ac:dyDescent="0.25">
      <c r="A36" s="35"/>
      <c r="B36" s="36"/>
      <c r="C36" s="37"/>
      <c r="D36" s="38"/>
      <c r="E36" s="39"/>
      <c r="F36" s="40"/>
      <c r="G36" s="40"/>
      <c r="H36" s="8"/>
      <c r="I36" s="8"/>
      <c r="N36" s="3"/>
      <c r="O36" s="31"/>
    </row>
    <row r="37" spans="1:15" ht="20.25" customHeight="1" x14ac:dyDescent="0.25">
      <c r="A37" s="25" t="s">
        <v>18</v>
      </c>
      <c r="B37" s="26" t="s">
        <v>19</v>
      </c>
      <c r="C37" s="27"/>
      <c r="D37" s="28"/>
      <c r="E37" s="29"/>
      <c r="F37" s="30"/>
      <c r="G37" s="30"/>
      <c r="H37" s="8"/>
      <c r="I37" s="8"/>
      <c r="N37" s="3"/>
    </row>
    <row r="38" spans="1:15" ht="26.25" customHeight="1" x14ac:dyDescent="0.25">
      <c r="A38" s="35">
        <v>1</v>
      </c>
      <c r="B38" s="36" t="s">
        <v>64</v>
      </c>
      <c r="C38" s="37" t="s">
        <v>20</v>
      </c>
      <c r="D38" s="38">
        <v>1</v>
      </c>
      <c r="E38" s="39">
        <v>1</v>
      </c>
      <c r="F38" s="40">
        <v>25920000</v>
      </c>
      <c r="G38" s="40">
        <f>D38*E38*F38</f>
        <v>25920000</v>
      </c>
      <c r="H38" s="8"/>
      <c r="I38" s="8"/>
      <c r="K38" s="31"/>
      <c r="N38" s="3"/>
    </row>
    <row r="39" spans="1:15" ht="26.25" customHeight="1" x14ac:dyDescent="0.25">
      <c r="A39" s="35"/>
      <c r="B39" s="36"/>
      <c r="C39" s="37"/>
      <c r="D39" s="38"/>
      <c r="E39" s="39"/>
      <c r="F39" s="40"/>
      <c r="G39" s="40"/>
      <c r="H39" s="8"/>
      <c r="I39" s="8"/>
      <c r="K39" s="31"/>
      <c r="N39" s="3"/>
    </row>
    <row r="40" spans="1:15" ht="26.25" customHeight="1" x14ac:dyDescent="0.25">
      <c r="A40" s="25" t="s">
        <v>65</v>
      </c>
      <c r="B40" s="26" t="s">
        <v>66</v>
      </c>
      <c r="C40" s="27"/>
      <c r="D40" s="28"/>
      <c r="E40" s="29"/>
      <c r="F40" s="30"/>
      <c r="G40" s="30"/>
      <c r="H40" s="8"/>
      <c r="I40" s="8"/>
      <c r="K40" s="31"/>
      <c r="N40" s="3"/>
    </row>
    <row r="41" spans="1:15" ht="26.25" customHeight="1" x14ac:dyDescent="0.25">
      <c r="A41" s="35"/>
      <c r="B41" s="36" t="s">
        <v>67</v>
      </c>
      <c r="C41" s="37" t="s">
        <v>70</v>
      </c>
      <c r="D41" s="38">
        <v>1</v>
      </c>
      <c r="E41" s="39">
        <v>1</v>
      </c>
      <c r="F41" s="40">
        <v>10000000</v>
      </c>
      <c r="G41" s="40">
        <f>F41*D41*E41</f>
        <v>10000000</v>
      </c>
      <c r="H41" s="8"/>
      <c r="I41" s="8"/>
      <c r="K41" s="31"/>
      <c r="N41" s="3"/>
    </row>
    <row r="42" spans="1:15" ht="26.25" customHeight="1" x14ac:dyDescent="0.25">
      <c r="A42" s="35"/>
      <c r="B42" s="36" t="s">
        <v>68</v>
      </c>
      <c r="C42" s="37" t="s">
        <v>71</v>
      </c>
      <c r="D42" s="38">
        <v>1</v>
      </c>
      <c r="E42" s="39">
        <v>1</v>
      </c>
      <c r="F42" s="40">
        <v>70000000</v>
      </c>
      <c r="G42" s="40">
        <f>F42*D42*E42</f>
        <v>70000000</v>
      </c>
      <c r="H42" s="8"/>
      <c r="I42" s="8"/>
      <c r="K42" s="31"/>
      <c r="N42" s="3"/>
    </row>
    <row r="43" spans="1:15" ht="26.25" customHeight="1" x14ac:dyDescent="0.25">
      <c r="A43" s="35"/>
      <c r="B43" s="36" t="s">
        <v>69</v>
      </c>
      <c r="C43" s="37" t="s">
        <v>72</v>
      </c>
      <c r="D43" s="38">
        <v>1</v>
      </c>
      <c r="E43" s="39">
        <v>1</v>
      </c>
      <c r="F43" s="40">
        <v>5000000</v>
      </c>
      <c r="G43" s="40">
        <f>F43*D43*E43</f>
        <v>5000000</v>
      </c>
      <c r="H43" s="8"/>
      <c r="I43" s="8"/>
      <c r="K43" s="31"/>
      <c r="N43" s="3"/>
    </row>
    <row r="44" spans="1:15" ht="13.5" customHeight="1" x14ac:dyDescent="0.25">
      <c r="A44" s="41"/>
      <c r="B44" s="42"/>
      <c r="C44" s="43"/>
      <c r="D44" s="44"/>
      <c r="E44" s="45"/>
      <c r="F44" s="46"/>
      <c r="G44" s="46"/>
      <c r="H44" s="8"/>
      <c r="I44" s="8"/>
      <c r="N44" s="3"/>
    </row>
    <row r="45" spans="1:15" ht="13.5" customHeight="1" x14ac:dyDescent="0.25">
      <c r="A45" s="41" t="s">
        <v>21</v>
      </c>
      <c r="B45" s="42" t="s">
        <v>22</v>
      </c>
      <c r="C45" s="43"/>
      <c r="D45" s="44"/>
      <c r="E45" s="45"/>
      <c r="F45" s="46"/>
      <c r="G45" s="46"/>
      <c r="H45" s="8"/>
      <c r="I45" s="8"/>
      <c r="N45" s="3"/>
    </row>
    <row r="46" spans="1:15" ht="15.75" customHeight="1" x14ac:dyDescent="0.25">
      <c r="A46" s="47">
        <v>1</v>
      </c>
      <c r="B46" s="48" t="s">
        <v>23</v>
      </c>
      <c r="C46" s="49"/>
      <c r="D46" s="32">
        <f>$C$12</f>
        <v>30</v>
      </c>
      <c r="E46" s="33">
        <v>3</v>
      </c>
      <c r="F46" s="34">
        <v>10000</v>
      </c>
      <c r="G46" s="34">
        <f t="shared" ref="G46:G51" si="1">D46*E46*F46</f>
        <v>900000</v>
      </c>
      <c r="H46" s="8"/>
      <c r="I46" s="8"/>
      <c r="N46" s="3"/>
    </row>
    <row r="47" spans="1:15" ht="13.5" customHeight="1" x14ac:dyDescent="0.25">
      <c r="A47" s="50">
        <v>3</v>
      </c>
      <c r="B47" s="51" t="s">
        <v>24</v>
      </c>
      <c r="C47" s="52"/>
      <c r="D47" s="38">
        <v>1</v>
      </c>
      <c r="E47" s="39">
        <v>3</v>
      </c>
      <c r="F47" s="40">
        <v>700000</v>
      </c>
      <c r="G47" s="40">
        <f>D47*E47*F47</f>
        <v>2100000</v>
      </c>
      <c r="H47" s="8"/>
      <c r="I47" s="8"/>
      <c r="K47" s="31"/>
      <c r="N47" s="3"/>
    </row>
    <row r="48" spans="1:15" ht="13.5" customHeight="1" x14ac:dyDescent="0.25">
      <c r="A48" s="50">
        <v>4</v>
      </c>
      <c r="B48" s="51" t="s">
        <v>25</v>
      </c>
      <c r="C48" s="52"/>
      <c r="D48" s="75">
        <v>1</v>
      </c>
      <c r="E48" s="39">
        <v>1</v>
      </c>
      <c r="F48" s="40">
        <v>500000</v>
      </c>
      <c r="G48" s="40">
        <f>D48*E48*F48</f>
        <v>500000</v>
      </c>
      <c r="H48" s="8"/>
      <c r="I48" s="8"/>
      <c r="N48" s="3"/>
    </row>
    <row r="49" spans="1:14" ht="13.5" customHeight="1" x14ac:dyDescent="0.25">
      <c r="A49" s="50">
        <v>5</v>
      </c>
      <c r="B49" s="51" t="s">
        <v>26</v>
      </c>
      <c r="C49" s="52"/>
      <c r="D49" s="38">
        <v>30</v>
      </c>
      <c r="E49" s="39">
        <v>1</v>
      </c>
      <c r="F49" s="40">
        <v>20000</v>
      </c>
      <c r="G49" s="40">
        <f t="shared" si="1"/>
        <v>600000</v>
      </c>
      <c r="H49" s="8"/>
      <c r="I49" s="8"/>
      <c r="N49" s="3"/>
    </row>
    <row r="50" spans="1:14" ht="13.5" customHeight="1" x14ac:dyDescent="0.25">
      <c r="A50" s="50">
        <v>6</v>
      </c>
      <c r="B50" s="51" t="s">
        <v>27</v>
      </c>
      <c r="C50" s="52"/>
      <c r="D50" s="38">
        <v>1</v>
      </c>
      <c r="E50" s="39">
        <v>2</v>
      </c>
      <c r="F50" s="40">
        <v>300000</v>
      </c>
      <c r="G50" s="40">
        <f t="shared" si="1"/>
        <v>600000</v>
      </c>
      <c r="H50" s="8"/>
      <c r="I50" s="8"/>
      <c r="N50" s="3"/>
    </row>
    <row r="51" spans="1:14" ht="13.5" customHeight="1" x14ac:dyDescent="0.25">
      <c r="A51" s="50">
        <v>7</v>
      </c>
      <c r="B51" s="51" t="s">
        <v>28</v>
      </c>
      <c r="C51" s="52" t="s">
        <v>29</v>
      </c>
      <c r="D51" s="38">
        <f>$C$12</f>
        <v>30</v>
      </c>
      <c r="E51" s="39">
        <v>1</v>
      </c>
      <c r="F51" s="40">
        <v>5000</v>
      </c>
      <c r="G51" s="40">
        <f t="shared" si="1"/>
        <v>150000</v>
      </c>
      <c r="H51" s="8"/>
      <c r="I51" s="8"/>
      <c r="N51" s="3"/>
    </row>
    <row r="52" spans="1:14" ht="13.5" customHeight="1" x14ac:dyDescent="0.25">
      <c r="A52" s="126" t="s">
        <v>30</v>
      </c>
      <c r="B52" s="127"/>
      <c r="C52" s="53"/>
      <c r="D52" s="54"/>
      <c r="E52" s="55"/>
      <c r="F52" s="54"/>
      <c r="G52" s="54">
        <f>SUM(G20:G51)</f>
        <v>201160006</v>
      </c>
      <c r="H52" s="8"/>
      <c r="I52" s="8"/>
      <c r="N52" s="3"/>
    </row>
    <row r="53" spans="1:14" ht="13.5" customHeight="1" x14ac:dyDescent="0.25">
      <c r="A53" s="4"/>
      <c r="B53" s="56"/>
      <c r="C53" s="56"/>
      <c r="D53" s="7"/>
      <c r="E53" s="4"/>
      <c r="F53" s="10"/>
      <c r="G53" s="7"/>
      <c r="H53" s="8"/>
      <c r="I53" s="8"/>
      <c r="N53" s="3"/>
    </row>
    <row r="54" spans="1:14" ht="13.5" customHeight="1" x14ac:dyDescent="0.25">
      <c r="A54" s="4"/>
      <c r="B54" s="57" t="s">
        <v>31</v>
      </c>
      <c r="C54" s="58" t="s">
        <v>32</v>
      </c>
      <c r="D54" s="59" t="s">
        <v>33</v>
      </c>
      <c r="E54" s="59" t="s">
        <v>34</v>
      </c>
      <c r="F54" s="60" t="s">
        <v>35</v>
      </c>
      <c r="G54" s="59" t="s">
        <v>36</v>
      </c>
      <c r="H54" s="61"/>
      <c r="I54" s="10"/>
      <c r="N54" s="3"/>
    </row>
    <row r="55" spans="1:14" ht="13.5" customHeight="1" x14ac:dyDescent="0.25">
      <c r="A55" s="4"/>
      <c r="B55" s="62" t="s">
        <v>37</v>
      </c>
      <c r="C55" s="63">
        <f>C16</f>
        <v>145800000</v>
      </c>
      <c r="D55" s="64">
        <f>+C55/1.08</f>
        <v>135000000</v>
      </c>
      <c r="E55" s="64">
        <f>SUM(G22:G38)</f>
        <v>111310006</v>
      </c>
      <c r="F55" s="64">
        <f>E55/1.08</f>
        <v>103064820.37037036</v>
      </c>
      <c r="G55" s="64">
        <f>+D55-F55</f>
        <v>31935179.629629642</v>
      </c>
      <c r="H55" s="61"/>
      <c r="I55" s="10"/>
      <c r="N55" s="3"/>
    </row>
    <row r="56" spans="1:14" ht="13.5" customHeight="1" x14ac:dyDescent="0.25">
      <c r="A56" s="4"/>
      <c r="B56" s="62" t="s">
        <v>38</v>
      </c>
      <c r="C56" s="63"/>
      <c r="D56" s="64">
        <v>0</v>
      </c>
      <c r="E56" s="64">
        <f>SUM(G46:G51)</f>
        <v>4850000</v>
      </c>
      <c r="F56" s="64">
        <f>E56</f>
        <v>4850000</v>
      </c>
      <c r="G56" s="64">
        <f>D56-F56</f>
        <v>-4850000</v>
      </c>
      <c r="H56" s="61"/>
      <c r="I56" s="10"/>
      <c r="N56" s="3"/>
    </row>
    <row r="57" spans="1:14" ht="13.5" customHeight="1" x14ac:dyDescent="0.25">
      <c r="A57" s="4"/>
      <c r="B57" s="65" t="s">
        <v>30</v>
      </c>
      <c r="C57" s="65">
        <f t="shared" ref="C57:F57" si="2">SUM(C55:C56)</f>
        <v>145800000</v>
      </c>
      <c r="D57" s="66">
        <f t="shared" si="2"/>
        <v>135000000</v>
      </c>
      <c r="E57" s="66">
        <f t="shared" si="2"/>
        <v>116160006</v>
      </c>
      <c r="F57" s="66">
        <f t="shared" si="2"/>
        <v>107914820.37037036</v>
      </c>
      <c r="G57" s="66">
        <f>SUM(G55:G56)</f>
        <v>27085179.629629642</v>
      </c>
      <c r="H57" s="61"/>
      <c r="I57" s="10"/>
      <c r="N57" s="3"/>
    </row>
    <row r="58" spans="1:14" ht="13.5" customHeight="1" x14ac:dyDescent="0.25">
      <c r="A58" s="4"/>
      <c r="B58" s="67"/>
      <c r="C58" s="67"/>
      <c r="D58" s="68"/>
      <c r="E58" s="68"/>
      <c r="F58" s="68"/>
      <c r="G58" s="69">
        <f>G57/D57</f>
        <v>0.20063096021947882</v>
      </c>
      <c r="H58" s="61"/>
      <c r="I58" s="10"/>
      <c r="N58" s="3"/>
    </row>
    <row r="59" spans="1:14" ht="13.5" customHeight="1" x14ac:dyDescent="0.25">
      <c r="A59" s="4"/>
      <c r="B59" s="67"/>
      <c r="C59" s="67"/>
      <c r="D59" s="68"/>
      <c r="E59" s="68"/>
      <c r="F59" s="68"/>
      <c r="G59" s="69"/>
      <c r="H59" s="61"/>
      <c r="I59" s="10"/>
      <c r="N59" s="3"/>
    </row>
    <row r="60" spans="1:14" ht="13.5" customHeight="1" x14ac:dyDescent="0.25">
      <c r="A60" s="128"/>
      <c r="B60" s="125"/>
      <c r="C60" s="129"/>
      <c r="D60" s="125"/>
      <c r="E60" s="124"/>
      <c r="F60" s="125"/>
      <c r="G60" s="124" t="s">
        <v>39</v>
      </c>
      <c r="H60" s="125"/>
      <c r="I60" s="10"/>
      <c r="N60" s="3"/>
    </row>
    <row r="61" spans="1:14" ht="13.5" customHeight="1" x14ac:dyDescent="0.25">
      <c r="A61" s="4"/>
      <c r="B61" s="71"/>
      <c r="C61" s="72"/>
      <c r="D61" s="72"/>
      <c r="E61" s="70"/>
      <c r="F61" s="70"/>
      <c r="G61" s="123" t="s">
        <v>122</v>
      </c>
      <c r="H61" s="124"/>
      <c r="I61" s="10"/>
      <c r="N61" s="3"/>
    </row>
    <row r="62" spans="1:14" ht="13.5" customHeight="1" x14ac:dyDescent="0.25">
      <c r="A62" s="4"/>
      <c r="B62" s="71"/>
      <c r="C62" s="72"/>
      <c r="D62" s="72"/>
      <c r="E62" s="70"/>
      <c r="F62" s="70"/>
      <c r="G62" s="73"/>
      <c r="H62" s="70"/>
      <c r="I62" s="10"/>
      <c r="N62" s="3"/>
    </row>
    <row r="63" spans="1:14" ht="13.5" customHeight="1" x14ac:dyDescent="0.25">
      <c r="A63" s="4"/>
      <c r="B63" s="72"/>
      <c r="C63" s="72"/>
      <c r="D63" s="72"/>
      <c r="E63" s="70"/>
      <c r="F63" s="70"/>
      <c r="G63" s="70"/>
      <c r="H63" s="70"/>
      <c r="I63" s="4"/>
      <c r="N63" s="3"/>
    </row>
    <row r="64" spans="1:14" ht="13.5" customHeight="1" x14ac:dyDescent="0.25">
      <c r="A64" s="73"/>
      <c r="B64" s="74"/>
      <c r="C64" s="74"/>
      <c r="D64" s="10"/>
      <c r="E64" s="4"/>
      <c r="F64" s="10"/>
      <c r="G64" s="10"/>
      <c r="H64" s="10"/>
      <c r="I64" s="73"/>
      <c r="N64" s="3"/>
    </row>
    <row r="65" spans="1:14" ht="30.6" customHeight="1" x14ac:dyDescent="0.25">
      <c r="A65" s="124"/>
      <c r="B65" s="125"/>
      <c r="C65" s="124"/>
      <c r="D65" s="125"/>
      <c r="E65" s="121" t="s">
        <v>74</v>
      </c>
      <c r="F65" s="121"/>
      <c r="G65" s="121"/>
      <c r="H65" s="121"/>
      <c r="I65" s="121"/>
      <c r="J65" s="121"/>
      <c r="K65" s="121"/>
      <c r="N65" s="3"/>
    </row>
    <row r="66" spans="1:14" ht="13.5" customHeight="1" x14ac:dyDescent="0.25">
      <c r="B66" s="1"/>
      <c r="E66" s="121" t="s">
        <v>75</v>
      </c>
      <c r="F66" s="121"/>
      <c r="G66" s="121"/>
      <c r="H66" s="121"/>
      <c r="I66" s="121"/>
      <c r="J66" s="121"/>
      <c r="K66" s="121"/>
      <c r="N66" s="3"/>
    </row>
    <row r="67" spans="1:14" ht="13.5" customHeight="1" x14ac:dyDescent="0.25">
      <c r="B67" s="1"/>
      <c r="E67" s="2"/>
      <c r="N67" s="3"/>
    </row>
    <row r="68" spans="1:14" ht="13.5" customHeight="1" x14ac:dyDescent="0.25">
      <c r="B68" s="1"/>
      <c r="E68" s="2"/>
      <c r="N68" s="3"/>
    </row>
    <row r="69" spans="1:14" ht="13.5" customHeight="1" x14ac:dyDescent="0.25">
      <c r="B69" s="1"/>
      <c r="E69" s="2"/>
      <c r="N69" s="3"/>
    </row>
    <row r="70" spans="1:14" ht="13.5" customHeight="1" x14ac:dyDescent="0.25">
      <c r="B70" s="1"/>
      <c r="E70" s="2"/>
      <c r="N70" s="3"/>
    </row>
    <row r="71" spans="1:14" ht="13.5" customHeight="1" x14ac:dyDescent="0.25">
      <c r="B71" s="1"/>
      <c r="E71" s="2"/>
      <c r="N71" s="3"/>
    </row>
    <row r="72" spans="1:14" ht="13.5" customHeight="1" x14ac:dyDescent="0.25">
      <c r="B72" s="1"/>
      <c r="E72" s="2"/>
      <c r="N72" s="3"/>
    </row>
    <row r="73" spans="1:14" ht="13.5" customHeight="1" x14ac:dyDescent="0.25">
      <c r="B73" s="1"/>
      <c r="E73" s="2"/>
      <c r="N73" s="3"/>
    </row>
    <row r="74" spans="1:14" ht="13.5" customHeight="1" x14ac:dyDescent="0.25">
      <c r="B74" s="1"/>
      <c r="E74" s="2"/>
      <c r="N74" s="3"/>
    </row>
    <row r="75" spans="1:14" ht="13.5" customHeight="1" x14ac:dyDescent="0.25">
      <c r="B75" s="1"/>
      <c r="E75" s="2"/>
      <c r="N75" s="3"/>
    </row>
    <row r="76" spans="1:14" ht="13.5" customHeight="1" x14ac:dyDescent="0.25">
      <c r="B76" s="1"/>
      <c r="E76" s="2"/>
      <c r="N76" s="3"/>
    </row>
    <row r="77" spans="1:14" ht="13.5" customHeight="1" x14ac:dyDescent="0.25">
      <c r="B77" s="1"/>
      <c r="E77" s="2"/>
      <c r="N77" s="3"/>
    </row>
    <row r="78" spans="1:14" ht="13.5" customHeight="1" x14ac:dyDescent="0.25">
      <c r="B78" s="1"/>
      <c r="E78" s="2"/>
      <c r="N78" s="3"/>
    </row>
    <row r="79" spans="1:14" ht="13.5" customHeight="1" x14ac:dyDescent="0.25">
      <c r="B79" s="1"/>
      <c r="E79" s="2"/>
      <c r="N79" s="3"/>
    </row>
    <row r="80" spans="1:14" ht="13.5" customHeight="1" x14ac:dyDescent="0.25">
      <c r="B80" s="1"/>
      <c r="E80" s="2"/>
      <c r="N80" s="3"/>
    </row>
    <row r="81" spans="2:14" ht="13.5" customHeight="1" x14ac:dyDescent="0.25">
      <c r="B81" s="1"/>
      <c r="E81" s="2"/>
      <c r="N81" s="3"/>
    </row>
    <row r="82" spans="2:14" ht="13.5" customHeight="1" x14ac:dyDescent="0.25">
      <c r="B82" s="1"/>
      <c r="E82" s="2"/>
      <c r="N82" s="3"/>
    </row>
    <row r="83" spans="2:14" ht="13.5" customHeight="1" x14ac:dyDescent="0.25">
      <c r="B83" s="1"/>
      <c r="E83" s="2"/>
      <c r="N83" s="3"/>
    </row>
    <row r="84" spans="2:14" ht="13.5" customHeight="1" x14ac:dyDescent="0.25">
      <c r="B84" s="1"/>
      <c r="E84" s="2"/>
      <c r="N84" s="3"/>
    </row>
    <row r="85" spans="2:14" ht="13.5" customHeight="1" x14ac:dyDescent="0.25">
      <c r="B85" s="1"/>
      <c r="E85" s="2"/>
      <c r="N85" s="3"/>
    </row>
    <row r="86" spans="2:14" ht="13.5" customHeight="1" x14ac:dyDescent="0.25">
      <c r="B86" s="1"/>
      <c r="E86" s="2"/>
      <c r="N86" s="3"/>
    </row>
    <row r="87" spans="2:14" ht="13.5" customHeight="1" x14ac:dyDescent="0.25">
      <c r="B87" s="1"/>
      <c r="E87" s="2"/>
      <c r="N87" s="3"/>
    </row>
    <row r="88" spans="2:14" ht="13.5" customHeight="1" x14ac:dyDescent="0.25">
      <c r="B88" s="1"/>
      <c r="E88" s="2"/>
      <c r="N88" s="3"/>
    </row>
    <row r="89" spans="2:14" ht="13.5" customHeight="1" x14ac:dyDescent="0.25">
      <c r="B89" s="1"/>
      <c r="E89" s="2"/>
      <c r="N89" s="3"/>
    </row>
    <row r="90" spans="2:14" ht="13.5" customHeight="1" x14ac:dyDescent="0.25">
      <c r="B90" s="1"/>
      <c r="E90" s="2"/>
      <c r="N90" s="3"/>
    </row>
    <row r="91" spans="2:14" ht="13.5" customHeight="1" x14ac:dyDescent="0.25">
      <c r="B91" s="1"/>
      <c r="E91" s="2"/>
      <c r="N91" s="3"/>
    </row>
    <row r="92" spans="2:14" ht="13.5" customHeight="1" x14ac:dyDescent="0.25">
      <c r="B92" s="1"/>
      <c r="E92" s="2"/>
      <c r="N92" s="3"/>
    </row>
    <row r="93" spans="2:14" ht="13.5" customHeight="1" x14ac:dyDescent="0.25">
      <c r="B93" s="1"/>
      <c r="E93" s="2"/>
      <c r="N93" s="3"/>
    </row>
    <row r="94" spans="2:14" ht="13.5" customHeight="1" x14ac:dyDescent="0.25">
      <c r="B94" s="1"/>
      <c r="E94" s="2"/>
      <c r="N94" s="3"/>
    </row>
    <row r="95" spans="2:14" ht="13.5" customHeight="1" x14ac:dyDescent="0.25">
      <c r="B95" s="1"/>
      <c r="E95" s="2"/>
      <c r="N95" s="3"/>
    </row>
    <row r="96" spans="2:14" ht="13.5" customHeight="1" x14ac:dyDescent="0.25">
      <c r="B96" s="1"/>
      <c r="E96" s="2"/>
      <c r="N96" s="3"/>
    </row>
    <row r="97" spans="2:14" ht="13.5" customHeight="1" x14ac:dyDescent="0.25">
      <c r="B97" s="1"/>
      <c r="E97" s="2"/>
      <c r="N97" s="3"/>
    </row>
    <row r="98" spans="2:14" ht="13.5" customHeight="1" x14ac:dyDescent="0.25">
      <c r="B98" s="1"/>
      <c r="E98" s="2"/>
      <c r="N98" s="3"/>
    </row>
    <row r="99" spans="2:14" ht="13.5" customHeight="1" x14ac:dyDescent="0.25">
      <c r="B99" s="1"/>
      <c r="E99" s="2"/>
      <c r="N99" s="3"/>
    </row>
    <row r="100" spans="2:14" ht="13.5" customHeight="1" x14ac:dyDescent="0.25">
      <c r="B100" s="1"/>
      <c r="E100" s="2"/>
      <c r="N100" s="3"/>
    </row>
    <row r="101" spans="2:14" ht="13.5" customHeight="1" x14ac:dyDescent="0.25">
      <c r="B101" s="1"/>
      <c r="E101" s="2"/>
      <c r="N101" s="3"/>
    </row>
    <row r="102" spans="2:14" ht="13.5" customHeight="1" x14ac:dyDescent="0.25">
      <c r="B102" s="1"/>
      <c r="E102" s="2"/>
      <c r="N102" s="3"/>
    </row>
    <row r="103" spans="2:14" ht="13.5" customHeight="1" x14ac:dyDescent="0.25">
      <c r="B103" s="1"/>
      <c r="E103" s="2"/>
      <c r="N103" s="3"/>
    </row>
    <row r="104" spans="2:14" ht="13.5" customHeight="1" x14ac:dyDescent="0.25">
      <c r="B104" s="1"/>
      <c r="E104" s="2"/>
      <c r="N104" s="3"/>
    </row>
    <row r="105" spans="2:14" ht="13.5" customHeight="1" x14ac:dyDescent="0.25">
      <c r="B105" s="1"/>
      <c r="E105" s="2"/>
      <c r="N105" s="3"/>
    </row>
    <row r="106" spans="2:14" ht="13.5" customHeight="1" x14ac:dyDescent="0.25">
      <c r="B106" s="1"/>
      <c r="E106" s="2"/>
      <c r="N106" s="3"/>
    </row>
    <row r="107" spans="2:14" ht="13.5" customHeight="1" x14ac:dyDescent="0.25">
      <c r="B107" s="1"/>
      <c r="E107" s="2"/>
      <c r="N107" s="3"/>
    </row>
    <row r="108" spans="2:14" ht="13.5" customHeight="1" x14ac:dyDescent="0.25">
      <c r="B108" s="1"/>
      <c r="E108" s="2"/>
      <c r="N108" s="3"/>
    </row>
    <row r="109" spans="2:14" ht="13.5" customHeight="1" x14ac:dyDescent="0.25">
      <c r="B109" s="1"/>
      <c r="E109" s="2"/>
      <c r="N109" s="3"/>
    </row>
    <row r="110" spans="2:14" ht="13.5" customHeight="1" x14ac:dyDescent="0.25">
      <c r="B110" s="1"/>
      <c r="E110" s="2"/>
      <c r="N110" s="3"/>
    </row>
    <row r="111" spans="2:14" ht="13.5" customHeight="1" x14ac:dyDescent="0.25">
      <c r="B111" s="1"/>
      <c r="E111" s="2"/>
      <c r="N111" s="3"/>
    </row>
    <row r="112" spans="2:14" ht="13.5" customHeight="1" x14ac:dyDescent="0.25">
      <c r="B112" s="1"/>
      <c r="E112" s="2"/>
      <c r="N112" s="3"/>
    </row>
    <row r="113" spans="2:14" ht="13.5" customHeight="1" x14ac:dyDescent="0.25">
      <c r="B113" s="1"/>
      <c r="E113" s="2"/>
      <c r="N113" s="3"/>
    </row>
    <row r="114" spans="2:14" ht="13.5" customHeight="1" x14ac:dyDescent="0.25">
      <c r="B114" s="1"/>
      <c r="E114" s="2"/>
      <c r="N114" s="3"/>
    </row>
    <row r="115" spans="2:14" ht="13.5" customHeight="1" x14ac:dyDescent="0.25">
      <c r="B115" s="1"/>
      <c r="E115" s="2"/>
      <c r="N115" s="3"/>
    </row>
    <row r="116" spans="2:14" ht="13.5" customHeight="1" x14ac:dyDescent="0.25">
      <c r="B116" s="1"/>
      <c r="E116" s="2"/>
      <c r="N116" s="3"/>
    </row>
    <row r="117" spans="2:14" ht="13.5" customHeight="1" x14ac:dyDescent="0.25">
      <c r="B117" s="1"/>
      <c r="E117" s="2"/>
      <c r="N117" s="3"/>
    </row>
    <row r="118" spans="2:14" ht="13.5" customHeight="1" x14ac:dyDescent="0.25">
      <c r="B118" s="1"/>
      <c r="E118" s="2"/>
      <c r="N118" s="3"/>
    </row>
    <row r="119" spans="2:14" ht="13.5" customHeight="1" x14ac:dyDescent="0.25">
      <c r="B119" s="1"/>
      <c r="E119" s="2"/>
      <c r="N119" s="3"/>
    </row>
    <row r="120" spans="2:14" ht="13.5" customHeight="1" x14ac:dyDescent="0.25">
      <c r="B120" s="1"/>
      <c r="E120" s="2"/>
      <c r="N120" s="3"/>
    </row>
    <row r="121" spans="2:14" ht="13.5" customHeight="1" x14ac:dyDescent="0.25">
      <c r="B121" s="1"/>
      <c r="E121" s="2"/>
      <c r="N121" s="3"/>
    </row>
    <row r="122" spans="2:14" ht="13.5" customHeight="1" x14ac:dyDescent="0.25">
      <c r="B122" s="1"/>
      <c r="E122" s="2"/>
      <c r="N122" s="3"/>
    </row>
    <row r="123" spans="2:14" ht="13.5" customHeight="1" x14ac:dyDescent="0.25">
      <c r="B123" s="1"/>
      <c r="E123" s="2"/>
      <c r="N123" s="3"/>
    </row>
    <row r="124" spans="2:14" ht="13.5" customHeight="1" x14ac:dyDescent="0.25">
      <c r="B124" s="1"/>
      <c r="E124" s="2"/>
      <c r="N124" s="3"/>
    </row>
    <row r="125" spans="2:14" ht="13.5" customHeight="1" x14ac:dyDescent="0.25">
      <c r="B125" s="1"/>
      <c r="E125" s="2"/>
      <c r="N125" s="3"/>
    </row>
    <row r="126" spans="2:14" ht="13.5" customHeight="1" x14ac:dyDescent="0.25">
      <c r="B126" s="1"/>
      <c r="E126" s="2"/>
      <c r="N126" s="3"/>
    </row>
    <row r="127" spans="2:14" ht="13.5" customHeight="1" x14ac:dyDescent="0.25">
      <c r="B127" s="1"/>
      <c r="E127" s="2"/>
      <c r="N127" s="3"/>
    </row>
    <row r="128" spans="2:14" ht="13.5" customHeight="1" x14ac:dyDescent="0.25">
      <c r="B128" s="1"/>
      <c r="E128" s="2"/>
      <c r="N128" s="3"/>
    </row>
    <row r="129" spans="2:14" ht="13.5" customHeight="1" x14ac:dyDescent="0.25">
      <c r="B129" s="1"/>
      <c r="E129" s="2"/>
      <c r="N129" s="3"/>
    </row>
    <row r="130" spans="2:14" ht="13.5" customHeight="1" x14ac:dyDescent="0.25">
      <c r="B130" s="1"/>
      <c r="E130" s="2"/>
      <c r="N130" s="3"/>
    </row>
    <row r="131" spans="2:14" ht="13.5" customHeight="1" x14ac:dyDescent="0.25">
      <c r="B131" s="1"/>
      <c r="E131" s="2"/>
      <c r="N131" s="3"/>
    </row>
    <row r="132" spans="2:14" ht="13.5" customHeight="1" x14ac:dyDescent="0.25">
      <c r="B132" s="1"/>
      <c r="E132" s="2"/>
      <c r="N132" s="3"/>
    </row>
    <row r="133" spans="2:14" ht="13.5" customHeight="1" x14ac:dyDescent="0.25">
      <c r="B133" s="1"/>
      <c r="E133" s="2"/>
      <c r="N133" s="3"/>
    </row>
    <row r="134" spans="2:14" ht="13.5" customHeight="1" x14ac:dyDescent="0.25">
      <c r="B134" s="1"/>
      <c r="E134" s="2"/>
      <c r="N134" s="3"/>
    </row>
    <row r="135" spans="2:14" ht="13.5" customHeight="1" x14ac:dyDescent="0.25">
      <c r="B135" s="1"/>
      <c r="E135" s="2"/>
      <c r="N135" s="3"/>
    </row>
    <row r="136" spans="2:14" ht="13.5" customHeight="1" x14ac:dyDescent="0.25">
      <c r="B136" s="1"/>
      <c r="E136" s="2"/>
      <c r="N136" s="3"/>
    </row>
    <row r="137" spans="2:14" ht="13.5" customHeight="1" x14ac:dyDescent="0.25">
      <c r="B137" s="1"/>
      <c r="E137" s="2"/>
      <c r="N137" s="3"/>
    </row>
    <row r="138" spans="2:14" ht="13.5" customHeight="1" x14ac:dyDescent="0.25">
      <c r="B138" s="1"/>
      <c r="E138" s="2"/>
      <c r="N138" s="3"/>
    </row>
    <row r="139" spans="2:14" ht="13.5" customHeight="1" x14ac:dyDescent="0.25">
      <c r="B139" s="1"/>
      <c r="E139" s="2"/>
      <c r="N139" s="3"/>
    </row>
    <row r="140" spans="2:14" ht="13.5" customHeight="1" x14ac:dyDescent="0.25">
      <c r="B140" s="1"/>
      <c r="E140" s="2"/>
      <c r="N140" s="3"/>
    </row>
    <row r="141" spans="2:14" ht="13.5" customHeight="1" x14ac:dyDescent="0.25">
      <c r="B141" s="1"/>
      <c r="E141" s="2"/>
      <c r="N141" s="3"/>
    </row>
    <row r="142" spans="2:14" ht="13.5" customHeight="1" x14ac:dyDescent="0.25">
      <c r="B142" s="1"/>
      <c r="E142" s="2"/>
      <c r="N142" s="3"/>
    </row>
    <row r="143" spans="2:14" ht="13.5" customHeight="1" x14ac:dyDescent="0.25">
      <c r="B143" s="1"/>
      <c r="E143" s="2"/>
      <c r="N143" s="3"/>
    </row>
    <row r="144" spans="2:14" ht="13.5" customHeight="1" x14ac:dyDescent="0.25">
      <c r="B144" s="1"/>
      <c r="E144" s="2"/>
      <c r="N144" s="3"/>
    </row>
    <row r="145" spans="2:14" ht="13.5" customHeight="1" x14ac:dyDescent="0.25">
      <c r="B145" s="1"/>
      <c r="E145" s="2"/>
      <c r="N145" s="3"/>
    </row>
    <row r="146" spans="2:14" ht="13.5" customHeight="1" x14ac:dyDescent="0.25">
      <c r="B146" s="1"/>
      <c r="E146" s="2"/>
      <c r="N146" s="3"/>
    </row>
    <row r="147" spans="2:14" ht="13.5" customHeight="1" x14ac:dyDescent="0.25">
      <c r="B147" s="1"/>
      <c r="E147" s="2"/>
      <c r="N147" s="3"/>
    </row>
    <row r="148" spans="2:14" ht="13.5" customHeight="1" x14ac:dyDescent="0.25">
      <c r="B148" s="1"/>
      <c r="E148" s="2"/>
      <c r="N148" s="3"/>
    </row>
    <row r="149" spans="2:14" ht="13.5" customHeight="1" x14ac:dyDescent="0.25">
      <c r="B149" s="1"/>
      <c r="E149" s="2"/>
      <c r="N149" s="3"/>
    </row>
    <row r="150" spans="2:14" ht="13.5" customHeight="1" x14ac:dyDescent="0.25">
      <c r="B150" s="1"/>
      <c r="E150" s="2"/>
      <c r="N150" s="3"/>
    </row>
    <row r="151" spans="2:14" ht="13.5" customHeight="1" x14ac:dyDescent="0.25">
      <c r="B151" s="1"/>
      <c r="E151" s="2"/>
      <c r="N151" s="3"/>
    </row>
    <row r="152" spans="2:14" ht="13.5" customHeight="1" x14ac:dyDescent="0.25">
      <c r="B152" s="1"/>
      <c r="E152" s="2"/>
      <c r="N152" s="3"/>
    </row>
    <row r="153" spans="2:14" ht="13.5" customHeight="1" x14ac:dyDescent="0.25">
      <c r="B153" s="1"/>
      <c r="E153" s="2"/>
      <c r="N153" s="3"/>
    </row>
    <row r="154" spans="2:14" ht="13.5" customHeight="1" x14ac:dyDescent="0.25">
      <c r="B154" s="1"/>
      <c r="E154" s="2"/>
      <c r="N154" s="3"/>
    </row>
    <row r="155" spans="2:14" ht="13.5" customHeight="1" x14ac:dyDescent="0.25">
      <c r="B155" s="1"/>
      <c r="E155" s="2"/>
      <c r="N155" s="3"/>
    </row>
    <row r="156" spans="2:14" ht="13.5" customHeight="1" x14ac:dyDescent="0.25">
      <c r="B156" s="1"/>
      <c r="E156" s="2"/>
      <c r="N156" s="3"/>
    </row>
    <row r="157" spans="2:14" ht="13.5" customHeight="1" x14ac:dyDescent="0.25">
      <c r="B157" s="1"/>
      <c r="E157" s="2"/>
      <c r="N157" s="3"/>
    </row>
    <row r="158" spans="2:14" ht="13.5" customHeight="1" x14ac:dyDescent="0.25">
      <c r="B158" s="1"/>
      <c r="E158" s="2"/>
      <c r="N158" s="3"/>
    </row>
    <row r="159" spans="2:14" ht="13.5" customHeight="1" x14ac:dyDescent="0.25">
      <c r="B159" s="1"/>
      <c r="E159" s="2"/>
      <c r="N159" s="3"/>
    </row>
    <row r="160" spans="2:14" ht="13.5" customHeight="1" x14ac:dyDescent="0.25">
      <c r="B160" s="1"/>
      <c r="E160" s="2"/>
      <c r="N160" s="3"/>
    </row>
    <row r="161" spans="2:14" ht="13.5" customHeight="1" x14ac:dyDescent="0.25">
      <c r="B161" s="1"/>
      <c r="E161" s="2"/>
      <c r="N161" s="3"/>
    </row>
    <row r="162" spans="2:14" ht="13.5" customHeight="1" x14ac:dyDescent="0.25">
      <c r="B162" s="1"/>
      <c r="E162" s="2"/>
      <c r="N162" s="3"/>
    </row>
    <row r="163" spans="2:14" ht="13.5" customHeight="1" x14ac:dyDescent="0.25">
      <c r="B163" s="1"/>
      <c r="E163" s="2"/>
      <c r="N163" s="3"/>
    </row>
    <row r="164" spans="2:14" ht="13.5" customHeight="1" x14ac:dyDescent="0.25">
      <c r="B164" s="1"/>
      <c r="E164" s="2"/>
      <c r="N164" s="3"/>
    </row>
    <row r="165" spans="2:14" ht="13.5" customHeight="1" x14ac:dyDescent="0.25">
      <c r="B165" s="1"/>
      <c r="E165" s="2"/>
      <c r="N165" s="3"/>
    </row>
    <row r="166" spans="2:14" ht="13.5" customHeight="1" x14ac:dyDescent="0.25">
      <c r="B166" s="1"/>
      <c r="E166" s="2"/>
      <c r="N166" s="3"/>
    </row>
    <row r="167" spans="2:14" ht="13.5" customHeight="1" x14ac:dyDescent="0.25">
      <c r="B167" s="1"/>
      <c r="E167" s="2"/>
      <c r="N167" s="3"/>
    </row>
    <row r="168" spans="2:14" ht="13.5" customHeight="1" x14ac:dyDescent="0.25">
      <c r="B168" s="1"/>
      <c r="E168" s="2"/>
      <c r="N168" s="3"/>
    </row>
    <row r="169" spans="2:14" ht="13.5" customHeight="1" x14ac:dyDescent="0.25">
      <c r="B169" s="1"/>
      <c r="E169" s="2"/>
      <c r="N169" s="3"/>
    </row>
    <row r="170" spans="2:14" ht="13.5" customHeight="1" x14ac:dyDescent="0.25">
      <c r="B170" s="1"/>
      <c r="E170" s="2"/>
      <c r="N170" s="3"/>
    </row>
    <row r="171" spans="2:14" ht="13.5" customHeight="1" x14ac:dyDescent="0.25">
      <c r="B171" s="1"/>
      <c r="E171" s="2"/>
      <c r="N171" s="3"/>
    </row>
    <row r="172" spans="2:14" ht="13.5" customHeight="1" x14ac:dyDescent="0.25">
      <c r="B172" s="1"/>
      <c r="E172" s="2"/>
      <c r="N172" s="3"/>
    </row>
    <row r="173" spans="2:14" ht="13.5" customHeight="1" x14ac:dyDescent="0.25">
      <c r="B173" s="1"/>
      <c r="E173" s="2"/>
      <c r="N173" s="3"/>
    </row>
    <row r="174" spans="2:14" ht="13.5" customHeight="1" x14ac:dyDescent="0.25">
      <c r="B174" s="1"/>
      <c r="E174" s="2"/>
      <c r="N174" s="3"/>
    </row>
    <row r="175" spans="2:14" ht="13.5" customHeight="1" x14ac:dyDescent="0.25">
      <c r="B175" s="1"/>
      <c r="E175" s="2"/>
      <c r="N175" s="3"/>
    </row>
    <row r="176" spans="2:14" ht="13.5" customHeight="1" x14ac:dyDescent="0.25">
      <c r="B176" s="1"/>
      <c r="E176" s="2"/>
      <c r="N176" s="3"/>
    </row>
    <row r="177" spans="2:14" ht="13.5" customHeight="1" x14ac:dyDescent="0.25">
      <c r="B177" s="1"/>
      <c r="E177" s="2"/>
      <c r="N177" s="3"/>
    </row>
    <row r="178" spans="2:14" ht="13.5" customHeight="1" x14ac:dyDescent="0.25">
      <c r="B178" s="1"/>
      <c r="E178" s="2"/>
      <c r="N178" s="3"/>
    </row>
    <row r="179" spans="2:14" ht="13.5" customHeight="1" x14ac:dyDescent="0.25">
      <c r="B179" s="1"/>
      <c r="E179" s="2"/>
      <c r="N179" s="3"/>
    </row>
    <row r="180" spans="2:14" ht="13.5" customHeight="1" x14ac:dyDescent="0.25">
      <c r="B180" s="1"/>
      <c r="E180" s="2"/>
      <c r="N180" s="3"/>
    </row>
    <row r="181" spans="2:14" ht="13.5" customHeight="1" x14ac:dyDescent="0.25">
      <c r="B181" s="1"/>
      <c r="E181" s="2"/>
      <c r="N181" s="3"/>
    </row>
    <row r="182" spans="2:14" ht="13.5" customHeight="1" x14ac:dyDescent="0.25">
      <c r="B182" s="1"/>
      <c r="E182" s="2"/>
      <c r="N182" s="3"/>
    </row>
    <row r="183" spans="2:14" ht="13.5" customHeight="1" x14ac:dyDescent="0.25">
      <c r="B183" s="1"/>
      <c r="E183" s="2"/>
      <c r="N183" s="3"/>
    </row>
    <row r="184" spans="2:14" ht="13.5" customHeight="1" x14ac:dyDescent="0.25">
      <c r="B184" s="1"/>
      <c r="E184" s="2"/>
      <c r="N184" s="3"/>
    </row>
    <row r="185" spans="2:14" ht="13.5" customHeight="1" x14ac:dyDescent="0.25">
      <c r="B185" s="1"/>
      <c r="E185" s="2"/>
      <c r="N185" s="3"/>
    </row>
    <row r="186" spans="2:14" ht="13.5" customHeight="1" x14ac:dyDescent="0.25">
      <c r="B186" s="1"/>
      <c r="E186" s="2"/>
      <c r="N186" s="3"/>
    </row>
    <row r="187" spans="2:14" ht="13.5" customHeight="1" x14ac:dyDescent="0.25">
      <c r="B187" s="1"/>
      <c r="E187" s="2"/>
      <c r="N187" s="3"/>
    </row>
    <row r="188" spans="2:14" ht="13.5" customHeight="1" x14ac:dyDescent="0.25">
      <c r="B188" s="1"/>
      <c r="E188" s="2"/>
      <c r="N188" s="3"/>
    </row>
    <row r="189" spans="2:14" ht="13.5" customHeight="1" x14ac:dyDescent="0.25">
      <c r="B189" s="1"/>
      <c r="E189" s="2"/>
      <c r="N189" s="3"/>
    </row>
    <row r="190" spans="2:14" ht="13.5" customHeight="1" x14ac:dyDescent="0.25">
      <c r="B190" s="1"/>
      <c r="E190" s="2"/>
      <c r="N190" s="3"/>
    </row>
    <row r="191" spans="2:14" ht="13.5" customHeight="1" x14ac:dyDescent="0.25">
      <c r="B191" s="1"/>
      <c r="E191" s="2"/>
      <c r="N191" s="3"/>
    </row>
    <row r="192" spans="2:14" ht="13.5" customHeight="1" x14ac:dyDescent="0.25">
      <c r="B192" s="1"/>
      <c r="E192" s="2"/>
      <c r="N192" s="3"/>
    </row>
    <row r="193" spans="2:14" ht="13.5" customHeight="1" x14ac:dyDescent="0.25">
      <c r="B193" s="1"/>
      <c r="E193" s="2"/>
      <c r="N193" s="3"/>
    </row>
    <row r="194" spans="2:14" ht="13.5" customHeight="1" x14ac:dyDescent="0.25">
      <c r="B194" s="1"/>
      <c r="E194" s="2"/>
      <c r="N194" s="3"/>
    </row>
    <row r="195" spans="2:14" ht="13.5" customHeight="1" x14ac:dyDescent="0.25">
      <c r="B195" s="1"/>
      <c r="E195" s="2"/>
      <c r="N195" s="3"/>
    </row>
    <row r="196" spans="2:14" ht="13.5" customHeight="1" x14ac:dyDescent="0.25">
      <c r="B196" s="1"/>
      <c r="E196" s="2"/>
      <c r="N196" s="3"/>
    </row>
    <row r="197" spans="2:14" ht="13.5" customHeight="1" x14ac:dyDescent="0.25">
      <c r="B197" s="1"/>
      <c r="E197" s="2"/>
      <c r="N197" s="3"/>
    </row>
    <row r="198" spans="2:14" ht="13.5" customHeight="1" x14ac:dyDescent="0.25">
      <c r="B198" s="1"/>
      <c r="E198" s="2"/>
      <c r="N198" s="3"/>
    </row>
    <row r="199" spans="2:14" ht="13.5" customHeight="1" x14ac:dyDescent="0.25">
      <c r="B199" s="1"/>
      <c r="E199" s="2"/>
      <c r="N199" s="3"/>
    </row>
    <row r="200" spans="2:14" ht="13.5" customHeight="1" x14ac:dyDescent="0.25">
      <c r="B200" s="1"/>
      <c r="E200" s="2"/>
      <c r="N200" s="3"/>
    </row>
    <row r="201" spans="2:14" ht="13.5" customHeight="1" x14ac:dyDescent="0.25">
      <c r="B201" s="1"/>
      <c r="E201" s="2"/>
      <c r="N201" s="3"/>
    </row>
    <row r="202" spans="2:14" ht="13.5" customHeight="1" x14ac:dyDescent="0.25">
      <c r="B202" s="1"/>
      <c r="E202" s="2"/>
      <c r="N202" s="3"/>
    </row>
    <row r="203" spans="2:14" ht="13.5" customHeight="1" x14ac:dyDescent="0.25">
      <c r="B203" s="1"/>
      <c r="E203" s="2"/>
      <c r="N203" s="3"/>
    </row>
    <row r="204" spans="2:14" ht="13.5" customHeight="1" x14ac:dyDescent="0.25">
      <c r="B204" s="1"/>
      <c r="E204" s="2"/>
      <c r="N204" s="3"/>
    </row>
    <row r="205" spans="2:14" ht="13.5" customHeight="1" x14ac:dyDescent="0.25">
      <c r="B205" s="1"/>
      <c r="E205" s="2"/>
      <c r="N205" s="3"/>
    </row>
    <row r="206" spans="2:14" ht="13.5" customHeight="1" x14ac:dyDescent="0.25">
      <c r="B206" s="1"/>
      <c r="E206" s="2"/>
      <c r="N206" s="3"/>
    </row>
    <row r="207" spans="2:14" ht="13.5" customHeight="1" x14ac:dyDescent="0.25">
      <c r="B207" s="1"/>
      <c r="E207" s="2"/>
      <c r="N207" s="3"/>
    </row>
    <row r="208" spans="2:14" ht="13.5" customHeight="1" x14ac:dyDescent="0.25">
      <c r="B208" s="1"/>
      <c r="E208" s="2"/>
      <c r="N208" s="3"/>
    </row>
    <row r="209" spans="2:14" ht="13.5" customHeight="1" x14ac:dyDescent="0.25">
      <c r="B209" s="1"/>
      <c r="E209" s="2"/>
      <c r="N209" s="3"/>
    </row>
    <row r="210" spans="2:14" ht="13.5" customHeight="1" x14ac:dyDescent="0.25">
      <c r="B210" s="1"/>
      <c r="E210" s="2"/>
      <c r="N210" s="3"/>
    </row>
    <row r="211" spans="2:14" ht="13.5" customHeight="1" x14ac:dyDescent="0.25">
      <c r="B211" s="1"/>
      <c r="E211" s="2"/>
      <c r="N211" s="3"/>
    </row>
    <row r="212" spans="2:14" ht="13.5" customHeight="1" x14ac:dyDescent="0.25">
      <c r="B212" s="1"/>
      <c r="E212" s="2"/>
      <c r="N212" s="3"/>
    </row>
    <row r="213" spans="2:14" ht="13.5" customHeight="1" x14ac:dyDescent="0.25">
      <c r="B213" s="1"/>
      <c r="E213" s="2"/>
      <c r="N213" s="3"/>
    </row>
    <row r="214" spans="2:14" ht="13.5" customHeight="1" x14ac:dyDescent="0.25">
      <c r="B214" s="1"/>
      <c r="E214" s="2"/>
      <c r="N214" s="3"/>
    </row>
    <row r="215" spans="2:14" ht="13.5" customHeight="1" x14ac:dyDescent="0.25">
      <c r="B215" s="1"/>
      <c r="E215" s="2"/>
      <c r="N215" s="3"/>
    </row>
    <row r="216" spans="2:14" ht="13.5" customHeight="1" x14ac:dyDescent="0.25">
      <c r="B216" s="1"/>
      <c r="E216" s="2"/>
      <c r="N216" s="3"/>
    </row>
    <row r="217" spans="2:14" ht="13.5" customHeight="1" x14ac:dyDescent="0.25">
      <c r="B217" s="1"/>
      <c r="E217" s="2"/>
      <c r="N217" s="3"/>
    </row>
    <row r="218" spans="2:14" ht="13.5" customHeight="1" x14ac:dyDescent="0.25">
      <c r="B218" s="1"/>
      <c r="E218" s="2"/>
      <c r="N218" s="3"/>
    </row>
    <row r="219" spans="2:14" ht="13.5" customHeight="1" x14ac:dyDescent="0.25">
      <c r="B219" s="1"/>
      <c r="E219" s="2"/>
      <c r="N219" s="3"/>
    </row>
    <row r="220" spans="2:14" ht="13.5" customHeight="1" x14ac:dyDescent="0.25">
      <c r="B220" s="1"/>
      <c r="E220" s="2"/>
      <c r="N220" s="3"/>
    </row>
    <row r="221" spans="2:14" ht="13.5" customHeight="1" x14ac:dyDescent="0.25">
      <c r="B221" s="1"/>
      <c r="E221" s="2"/>
      <c r="N221" s="3"/>
    </row>
    <row r="222" spans="2:14" ht="13.5" customHeight="1" x14ac:dyDescent="0.25">
      <c r="B222" s="1"/>
      <c r="E222" s="2"/>
      <c r="N222" s="3"/>
    </row>
    <row r="223" spans="2:14" ht="13.5" customHeight="1" x14ac:dyDescent="0.25">
      <c r="B223" s="1"/>
      <c r="E223" s="2"/>
      <c r="N223" s="3"/>
    </row>
    <row r="224" spans="2:14" ht="13.5" customHeight="1" x14ac:dyDescent="0.25">
      <c r="B224" s="1"/>
      <c r="E224" s="2"/>
      <c r="N224" s="3"/>
    </row>
    <row r="225" spans="2:14" ht="13.5" customHeight="1" x14ac:dyDescent="0.25">
      <c r="B225" s="1"/>
      <c r="E225" s="2"/>
      <c r="N225" s="3"/>
    </row>
    <row r="226" spans="2:14" ht="13.5" customHeight="1" x14ac:dyDescent="0.25">
      <c r="B226" s="1"/>
      <c r="E226" s="2"/>
      <c r="N226" s="3"/>
    </row>
    <row r="227" spans="2:14" ht="13.5" customHeight="1" x14ac:dyDescent="0.25">
      <c r="B227" s="1"/>
      <c r="E227" s="2"/>
      <c r="N227" s="3"/>
    </row>
    <row r="228" spans="2:14" ht="13.5" customHeight="1" x14ac:dyDescent="0.25">
      <c r="B228" s="1"/>
      <c r="E228" s="2"/>
      <c r="N228" s="3"/>
    </row>
    <row r="229" spans="2:14" ht="13.5" customHeight="1" x14ac:dyDescent="0.25">
      <c r="B229" s="1"/>
      <c r="E229" s="2"/>
      <c r="N229" s="3"/>
    </row>
    <row r="230" spans="2:14" ht="13.5" customHeight="1" x14ac:dyDescent="0.25">
      <c r="B230" s="1"/>
      <c r="E230" s="2"/>
      <c r="N230" s="3"/>
    </row>
    <row r="231" spans="2:14" ht="13.5" customHeight="1" x14ac:dyDescent="0.25">
      <c r="B231" s="1"/>
      <c r="E231" s="2"/>
      <c r="N231" s="3"/>
    </row>
    <row r="232" spans="2:14" ht="13.5" customHeight="1" x14ac:dyDescent="0.25">
      <c r="B232" s="1"/>
      <c r="E232" s="2"/>
      <c r="N232" s="3"/>
    </row>
    <row r="233" spans="2:14" ht="13.5" customHeight="1" x14ac:dyDescent="0.25">
      <c r="B233" s="1"/>
      <c r="E233" s="2"/>
      <c r="N233" s="3"/>
    </row>
    <row r="234" spans="2:14" ht="13.5" customHeight="1" x14ac:dyDescent="0.25">
      <c r="B234" s="1"/>
      <c r="E234" s="2"/>
      <c r="N234" s="3"/>
    </row>
    <row r="235" spans="2:14" ht="13.5" customHeight="1" x14ac:dyDescent="0.25">
      <c r="B235" s="1"/>
      <c r="E235" s="2"/>
      <c r="N235" s="3"/>
    </row>
    <row r="236" spans="2:14" ht="13.5" customHeight="1" x14ac:dyDescent="0.25">
      <c r="B236" s="1"/>
      <c r="E236" s="2"/>
      <c r="N236" s="3"/>
    </row>
    <row r="237" spans="2:14" ht="13.5" customHeight="1" x14ac:dyDescent="0.25">
      <c r="B237" s="1"/>
      <c r="E237" s="2"/>
      <c r="N237" s="3"/>
    </row>
    <row r="238" spans="2:14" ht="13.5" customHeight="1" x14ac:dyDescent="0.25">
      <c r="B238" s="1"/>
      <c r="E238" s="2"/>
      <c r="N238" s="3"/>
    </row>
    <row r="239" spans="2:14" ht="13.5" customHeight="1" x14ac:dyDescent="0.25">
      <c r="B239" s="1"/>
      <c r="E239" s="2"/>
      <c r="N239" s="3"/>
    </row>
    <row r="240" spans="2:14" ht="13.5" customHeight="1" x14ac:dyDescent="0.25">
      <c r="B240" s="1"/>
      <c r="E240" s="2"/>
      <c r="N240" s="3"/>
    </row>
    <row r="241" spans="2:14" ht="13.5" customHeight="1" x14ac:dyDescent="0.25">
      <c r="B241" s="1"/>
      <c r="E241" s="2"/>
      <c r="N241" s="3"/>
    </row>
    <row r="242" spans="2:14" ht="13.5" customHeight="1" x14ac:dyDescent="0.25">
      <c r="B242" s="1"/>
      <c r="E242" s="2"/>
      <c r="N242" s="3"/>
    </row>
    <row r="243" spans="2:14" ht="13.5" customHeight="1" x14ac:dyDescent="0.25">
      <c r="B243" s="1"/>
      <c r="E243" s="2"/>
      <c r="N243" s="3"/>
    </row>
    <row r="244" spans="2:14" ht="13.5" customHeight="1" x14ac:dyDescent="0.25">
      <c r="B244" s="1"/>
      <c r="E244" s="2"/>
      <c r="N244" s="3"/>
    </row>
    <row r="245" spans="2:14" ht="13.5" customHeight="1" x14ac:dyDescent="0.25">
      <c r="B245" s="1"/>
      <c r="E245" s="2"/>
      <c r="N245" s="3"/>
    </row>
    <row r="246" spans="2:14" ht="13.5" customHeight="1" x14ac:dyDescent="0.25">
      <c r="B246" s="1"/>
      <c r="E246" s="2"/>
      <c r="N246" s="3"/>
    </row>
    <row r="247" spans="2:14" ht="13.5" customHeight="1" x14ac:dyDescent="0.25">
      <c r="B247" s="1"/>
      <c r="E247" s="2"/>
      <c r="N247" s="3"/>
    </row>
    <row r="248" spans="2:14" ht="13.5" customHeight="1" x14ac:dyDescent="0.25">
      <c r="B248" s="1"/>
      <c r="E248" s="2"/>
      <c r="N248" s="3"/>
    </row>
    <row r="249" spans="2:14" ht="13.5" customHeight="1" x14ac:dyDescent="0.25">
      <c r="B249" s="1"/>
      <c r="E249" s="2"/>
      <c r="N249" s="3"/>
    </row>
    <row r="250" spans="2:14" ht="13.5" customHeight="1" x14ac:dyDescent="0.25">
      <c r="B250" s="1"/>
      <c r="E250" s="2"/>
      <c r="N250" s="3"/>
    </row>
    <row r="251" spans="2:14" ht="13.5" customHeight="1" x14ac:dyDescent="0.25">
      <c r="B251" s="1"/>
      <c r="E251" s="2"/>
      <c r="N251" s="3"/>
    </row>
    <row r="252" spans="2:14" ht="13.5" customHeight="1" x14ac:dyDescent="0.25">
      <c r="B252" s="1"/>
      <c r="E252" s="2"/>
      <c r="N252" s="3"/>
    </row>
    <row r="253" spans="2:14" ht="13.5" customHeight="1" x14ac:dyDescent="0.25">
      <c r="B253" s="1"/>
      <c r="E253" s="2"/>
      <c r="N253" s="3"/>
    </row>
    <row r="254" spans="2:14" ht="13.5" customHeight="1" x14ac:dyDescent="0.25">
      <c r="B254" s="1"/>
      <c r="E254" s="2"/>
      <c r="N254" s="3"/>
    </row>
    <row r="255" spans="2:14" ht="13.5" customHeight="1" x14ac:dyDescent="0.25">
      <c r="B255" s="1"/>
      <c r="E255" s="2"/>
      <c r="N255" s="3"/>
    </row>
    <row r="256" spans="2:14" ht="13.5" customHeight="1" x14ac:dyDescent="0.25">
      <c r="B256" s="1"/>
      <c r="E256" s="2"/>
      <c r="N256" s="3"/>
    </row>
    <row r="257" spans="2:14" ht="13.5" customHeight="1" x14ac:dyDescent="0.25">
      <c r="B257" s="1"/>
      <c r="E257" s="2"/>
      <c r="N257" s="3"/>
    </row>
    <row r="258" spans="2:14" ht="13.5" customHeight="1" x14ac:dyDescent="0.25">
      <c r="B258" s="1"/>
      <c r="E258" s="2"/>
      <c r="N258" s="3"/>
    </row>
    <row r="259" spans="2:14" ht="13.5" customHeight="1" x14ac:dyDescent="0.25">
      <c r="B259" s="1"/>
      <c r="E259" s="2"/>
      <c r="N259" s="3"/>
    </row>
    <row r="260" spans="2:14" ht="13.5" customHeight="1" x14ac:dyDescent="0.25">
      <c r="B260" s="1"/>
      <c r="E260" s="2"/>
      <c r="N260" s="3"/>
    </row>
    <row r="261" spans="2:14" ht="13.5" customHeight="1" x14ac:dyDescent="0.25">
      <c r="B261" s="1"/>
      <c r="E261" s="2"/>
      <c r="N261" s="3"/>
    </row>
    <row r="262" spans="2:14" ht="13.5" customHeight="1" x14ac:dyDescent="0.25">
      <c r="B262" s="1"/>
      <c r="E262" s="2"/>
      <c r="N262" s="3"/>
    </row>
    <row r="263" spans="2:14" ht="13.5" customHeight="1" x14ac:dyDescent="0.25">
      <c r="B263" s="1"/>
      <c r="E263" s="2"/>
      <c r="N263" s="3"/>
    </row>
    <row r="264" spans="2:14" ht="13.5" customHeight="1" x14ac:dyDescent="0.25">
      <c r="B264" s="1"/>
      <c r="E264" s="2"/>
      <c r="N264" s="3"/>
    </row>
    <row r="265" spans="2:14" ht="13.5" customHeight="1" x14ac:dyDescent="0.25">
      <c r="B265" s="1"/>
      <c r="E265" s="2"/>
      <c r="N265" s="3"/>
    </row>
    <row r="266" spans="2:14" ht="13.5" customHeight="1" x14ac:dyDescent="0.25">
      <c r="B266" s="1"/>
      <c r="E266" s="2"/>
      <c r="N266" s="3"/>
    </row>
    <row r="267" spans="2:14" ht="13.5" customHeight="1" x14ac:dyDescent="0.25">
      <c r="B267" s="1"/>
      <c r="E267" s="2"/>
      <c r="N267" s="3"/>
    </row>
    <row r="268" spans="2:14" ht="13.5" customHeight="1" x14ac:dyDescent="0.25">
      <c r="B268" s="1"/>
      <c r="E268" s="2"/>
      <c r="N268" s="3"/>
    </row>
    <row r="269" spans="2:14" ht="13.5" customHeight="1" x14ac:dyDescent="0.25">
      <c r="B269" s="1"/>
      <c r="E269" s="2"/>
      <c r="N269" s="3"/>
    </row>
    <row r="270" spans="2:14" ht="13.5" customHeight="1" x14ac:dyDescent="0.25">
      <c r="B270" s="1"/>
      <c r="E270" s="2"/>
      <c r="N270" s="3"/>
    </row>
    <row r="271" spans="2:14" ht="13.5" customHeight="1" x14ac:dyDescent="0.25">
      <c r="B271" s="1"/>
      <c r="E271" s="2"/>
      <c r="N271" s="3"/>
    </row>
    <row r="272" spans="2:14" ht="13.5" customHeight="1" x14ac:dyDescent="0.25">
      <c r="B272" s="1"/>
      <c r="E272" s="2"/>
      <c r="N272" s="3"/>
    </row>
    <row r="273" spans="2:14" ht="13.5" customHeight="1" x14ac:dyDescent="0.25">
      <c r="B273" s="1"/>
      <c r="E273" s="2"/>
      <c r="N273" s="3"/>
    </row>
    <row r="274" spans="2:14" ht="13.5" customHeight="1" x14ac:dyDescent="0.25">
      <c r="B274" s="1"/>
      <c r="E274" s="2"/>
      <c r="N274" s="3"/>
    </row>
    <row r="275" spans="2:14" ht="13.5" customHeight="1" x14ac:dyDescent="0.25">
      <c r="B275" s="1"/>
      <c r="E275" s="2"/>
      <c r="N275" s="3"/>
    </row>
    <row r="276" spans="2:14" ht="13.5" customHeight="1" x14ac:dyDescent="0.25">
      <c r="B276" s="1"/>
      <c r="E276" s="2"/>
      <c r="N276" s="3"/>
    </row>
    <row r="277" spans="2:14" ht="13.5" customHeight="1" x14ac:dyDescent="0.25">
      <c r="B277" s="1"/>
      <c r="E277" s="2"/>
      <c r="N277" s="3"/>
    </row>
    <row r="278" spans="2:14" ht="13.5" customHeight="1" x14ac:dyDescent="0.25">
      <c r="B278" s="1"/>
      <c r="E278" s="2"/>
      <c r="N278" s="3"/>
    </row>
    <row r="279" spans="2:14" ht="13.5" customHeight="1" x14ac:dyDescent="0.25">
      <c r="B279" s="1"/>
      <c r="E279" s="2"/>
      <c r="N279" s="3"/>
    </row>
    <row r="280" spans="2:14" ht="13.5" customHeight="1" x14ac:dyDescent="0.25">
      <c r="B280" s="1"/>
      <c r="E280" s="2"/>
      <c r="N280" s="3"/>
    </row>
    <row r="281" spans="2:14" ht="13.5" customHeight="1" x14ac:dyDescent="0.25">
      <c r="B281" s="1"/>
      <c r="E281" s="2"/>
      <c r="N281" s="3"/>
    </row>
    <row r="282" spans="2:14" ht="13.5" customHeight="1" x14ac:dyDescent="0.25">
      <c r="B282" s="1"/>
      <c r="E282" s="2"/>
      <c r="N282" s="3"/>
    </row>
    <row r="283" spans="2:14" ht="13.5" customHeight="1" x14ac:dyDescent="0.25">
      <c r="B283" s="1"/>
      <c r="E283" s="2"/>
      <c r="N283" s="3"/>
    </row>
    <row r="284" spans="2:14" ht="13.5" customHeight="1" x14ac:dyDescent="0.25">
      <c r="B284" s="1"/>
      <c r="E284" s="2"/>
      <c r="N284" s="3"/>
    </row>
    <row r="285" spans="2:14" ht="13.5" customHeight="1" x14ac:dyDescent="0.25">
      <c r="B285" s="1"/>
      <c r="E285" s="2"/>
      <c r="N285" s="3"/>
    </row>
    <row r="286" spans="2:14" ht="13.5" customHeight="1" x14ac:dyDescent="0.25">
      <c r="B286" s="1"/>
      <c r="E286" s="2"/>
      <c r="N286" s="3"/>
    </row>
    <row r="287" spans="2:14" ht="13.5" customHeight="1" x14ac:dyDescent="0.25">
      <c r="B287" s="1"/>
      <c r="E287" s="2"/>
      <c r="N287" s="3"/>
    </row>
    <row r="288" spans="2:14" ht="13.5" customHeight="1" x14ac:dyDescent="0.25">
      <c r="B288" s="1"/>
      <c r="E288" s="2"/>
      <c r="N288" s="3"/>
    </row>
    <row r="289" spans="2:14" ht="13.5" customHeight="1" x14ac:dyDescent="0.25">
      <c r="B289" s="1"/>
      <c r="E289" s="2"/>
      <c r="N289" s="3"/>
    </row>
    <row r="290" spans="2:14" ht="13.5" customHeight="1" x14ac:dyDescent="0.25">
      <c r="B290" s="1"/>
      <c r="E290" s="2"/>
      <c r="N290" s="3"/>
    </row>
    <row r="291" spans="2:14" ht="13.5" customHeight="1" x14ac:dyDescent="0.25">
      <c r="B291" s="1"/>
      <c r="E291" s="2"/>
      <c r="N291" s="3"/>
    </row>
    <row r="292" spans="2:14" ht="13.5" customHeight="1" x14ac:dyDescent="0.25">
      <c r="B292" s="1"/>
      <c r="E292" s="2"/>
      <c r="N292" s="3"/>
    </row>
    <row r="293" spans="2:14" ht="13.5" customHeight="1" x14ac:dyDescent="0.25">
      <c r="B293" s="1"/>
      <c r="E293" s="2"/>
      <c r="N293" s="3"/>
    </row>
    <row r="294" spans="2:14" ht="13.5" customHeight="1" x14ac:dyDescent="0.25">
      <c r="B294" s="1"/>
      <c r="E294" s="2"/>
      <c r="N294" s="3"/>
    </row>
    <row r="295" spans="2:14" ht="13.5" customHeight="1" x14ac:dyDescent="0.25">
      <c r="B295" s="1"/>
      <c r="E295" s="2"/>
      <c r="N295" s="3"/>
    </row>
    <row r="296" spans="2:14" ht="13.5" customHeight="1" x14ac:dyDescent="0.25">
      <c r="B296" s="1"/>
      <c r="E296" s="2"/>
      <c r="N296" s="3"/>
    </row>
    <row r="297" spans="2:14" ht="13.5" customHeight="1" x14ac:dyDescent="0.25">
      <c r="B297" s="1"/>
      <c r="E297" s="2"/>
      <c r="N297" s="3"/>
    </row>
    <row r="298" spans="2:14" ht="13.5" customHeight="1" x14ac:dyDescent="0.25">
      <c r="B298" s="1"/>
      <c r="E298" s="2"/>
      <c r="N298" s="3"/>
    </row>
    <row r="299" spans="2:14" ht="13.5" customHeight="1" x14ac:dyDescent="0.25">
      <c r="B299" s="1"/>
      <c r="E299" s="2"/>
      <c r="N299" s="3"/>
    </row>
    <row r="300" spans="2:14" ht="13.5" customHeight="1" x14ac:dyDescent="0.25">
      <c r="B300" s="1"/>
      <c r="E300" s="2"/>
      <c r="N300" s="3"/>
    </row>
    <row r="301" spans="2:14" ht="13.5" customHeight="1" x14ac:dyDescent="0.25">
      <c r="B301" s="1"/>
      <c r="E301" s="2"/>
      <c r="N301" s="3"/>
    </row>
    <row r="302" spans="2:14" ht="13.5" customHeight="1" x14ac:dyDescent="0.25">
      <c r="B302" s="1"/>
      <c r="E302" s="2"/>
      <c r="N302" s="3"/>
    </row>
    <row r="303" spans="2:14" ht="13.5" customHeight="1" x14ac:dyDescent="0.25">
      <c r="B303" s="1"/>
      <c r="E303" s="2"/>
      <c r="N303" s="3"/>
    </row>
    <row r="304" spans="2:14" ht="13.5" customHeight="1" x14ac:dyDescent="0.25">
      <c r="B304" s="1"/>
      <c r="E304" s="2"/>
      <c r="N304" s="3"/>
    </row>
    <row r="305" spans="2:14" ht="13.5" customHeight="1" x14ac:dyDescent="0.25">
      <c r="B305" s="1"/>
      <c r="E305" s="2"/>
      <c r="N305" s="3"/>
    </row>
    <row r="306" spans="2:14" ht="13.5" customHeight="1" x14ac:dyDescent="0.25">
      <c r="B306" s="1"/>
      <c r="E306" s="2"/>
      <c r="N306" s="3"/>
    </row>
    <row r="307" spans="2:14" ht="13.5" customHeight="1" x14ac:dyDescent="0.25">
      <c r="B307" s="1"/>
      <c r="E307" s="2"/>
      <c r="N307" s="3"/>
    </row>
    <row r="308" spans="2:14" ht="13.5" customHeight="1" x14ac:dyDescent="0.25">
      <c r="B308" s="1"/>
      <c r="E308" s="2"/>
      <c r="N308" s="3"/>
    </row>
    <row r="309" spans="2:14" ht="13.5" customHeight="1" x14ac:dyDescent="0.25">
      <c r="B309" s="1"/>
      <c r="E309" s="2"/>
      <c r="N309" s="3"/>
    </row>
    <row r="310" spans="2:14" ht="13.5" customHeight="1" x14ac:dyDescent="0.25">
      <c r="B310" s="1"/>
      <c r="E310" s="2"/>
      <c r="N310" s="3"/>
    </row>
    <row r="311" spans="2:14" ht="13.5" customHeight="1" x14ac:dyDescent="0.25">
      <c r="B311" s="1"/>
      <c r="E311" s="2"/>
      <c r="N311" s="3"/>
    </row>
    <row r="312" spans="2:14" ht="13.5" customHeight="1" x14ac:dyDescent="0.25">
      <c r="B312" s="1"/>
      <c r="E312" s="2"/>
      <c r="N312" s="3"/>
    </row>
    <row r="313" spans="2:14" ht="13.5" customHeight="1" x14ac:dyDescent="0.25">
      <c r="B313" s="1"/>
      <c r="E313" s="2"/>
      <c r="N313" s="3"/>
    </row>
    <row r="314" spans="2:14" ht="13.5" customHeight="1" x14ac:dyDescent="0.25">
      <c r="B314" s="1"/>
      <c r="E314" s="2"/>
      <c r="N314" s="3"/>
    </row>
    <row r="315" spans="2:14" ht="13.5" customHeight="1" x14ac:dyDescent="0.25">
      <c r="B315" s="1"/>
      <c r="E315" s="2"/>
      <c r="N315" s="3"/>
    </row>
    <row r="316" spans="2:14" ht="13.5" customHeight="1" x14ac:dyDescent="0.25">
      <c r="B316" s="1"/>
      <c r="E316" s="2"/>
      <c r="N316" s="3"/>
    </row>
    <row r="317" spans="2:14" ht="13.5" customHeight="1" x14ac:dyDescent="0.25">
      <c r="B317" s="1"/>
      <c r="E317" s="2"/>
      <c r="N317" s="3"/>
    </row>
    <row r="318" spans="2:14" ht="13.5" customHeight="1" x14ac:dyDescent="0.25">
      <c r="B318" s="1"/>
      <c r="E318" s="2"/>
      <c r="N318" s="3"/>
    </row>
    <row r="319" spans="2:14" ht="13.5" customHeight="1" x14ac:dyDescent="0.25">
      <c r="B319" s="1"/>
      <c r="E319" s="2"/>
      <c r="N319" s="3"/>
    </row>
    <row r="320" spans="2:14" ht="13.5" customHeight="1" x14ac:dyDescent="0.25">
      <c r="B320" s="1"/>
      <c r="E320" s="2"/>
      <c r="N320" s="3"/>
    </row>
    <row r="321" spans="2:14" ht="13.5" customHeight="1" x14ac:dyDescent="0.25">
      <c r="B321" s="1"/>
      <c r="E321" s="2"/>
      <c r="N321" s="3"/>
    </row>
    <row r="322" spans="2:14" ht="13.5" customHeight="1" x14ac:dyDescent="0.25">
      <c r="B322" s="1"/>
      <c r="E322" s="2"/>
      <c r="N322" s="3"/>
    </row>
    <row r="323" spans="2:14" ht="13.5" customHeight="1" x14ac:dyDescent="0.25">
      <c r="B323" s="1"/>
      <c r="E323" s="2"/>
      <c r="N323" s="3"/>
    </row>
    <row r="324" spans="2:14" ht="13.5" customHeight="1" x14ac:dyDescent="0.25">
      <c r="B324" s="1"/>
      <c r="E324" s="2"/>
      <c r="N324" s="3"/>
    </row>
    <row r="325" spans="2:14" ht="13.5" customHeight="1" x14ac:dyDescent="0.25">
      <c r="B325" s="1"/>
      <c r="E325" s="2"/>
      <c r="N325" s="3"/>
    </row>
    <row r="326" spans="2:14" ht="13.5" customHeight="1" x14ac:dyDescent="0.25">
      <c r="B326" s="1"/>
      <c r="E326" s="2"/>
      <c r="N326" s="3"/>
    </row>
    <row r="327" spans="2:14" ht="13.5" customHeight="1" x14ac:dyDescent="0.25">
      <c r="B327" s="1"/>
      <c r="E327" s="2"/>
      <c r="N327" s="3"/>
    </row>
    <row r="328" spans="2:14" ht="13.5" customHeight="1" x14ac:dyDescent="0.25">
      <c r="B328" s="1"/>
      <c r="E328" s="2"/>
      <c r="N328" s="3"/>
    </row>
    <row r="329" spans="2:14" ht="13.5" customHeight="1" x14ac:dyDescent="0.25">
      <c r="B329" s="1"/>
      <c r="E329" s="2"/>
      <c r="N329" s="3"/>
    </row>
    <row r="330" spans="2:14" ht="13.5" customHeight="1" x14ac:dyDescent="0.25">
      <c r="B330" s="1"/>
      <c r="E330" s="2"/>
      <c r="N330" s="3"/>
    </row>
    <row r="331" spans="2:14" ht="13.5" customHeight="1" x14ac:dyDescent="0.25">
      <c r="B331" s="1"/>
      <c r="E331" s="2"/>
      <c r="N331" s="3"/>
    </row>
    <row r="332" spans="2:14" ht="13.5" customHeight="1" x14ac:dyDescent="0.25">
      <c r="B332" s="1"/>
      <c r="E332" s="2"/>
      <c r="N332" s="3"/>
    </row>
    <row r="333" spans="2:14" ht="13.5" customHeight="1" x14ac:dyDescent="0.25">
      <c r="B333" s="1"/>
      <c r="E333" s="2"/>
      <c r="N333" s="3"/>
    </row>
    <row r="334" spans="2:14" ht="13.5" customHeight="1" x14ac:dyDescent="0.25">
      <c r="B334" s="1"/>
      <c r="E334" s="2"/>
      <c r="N334" s="3"/>
    </row>
    <row r="335" spans="2:14" ht="13.5" customHeight="1" x14ac:dyDescent="0.25">
      <c r="B335" s="1"/>
      <c r="E335" s="2"/>
      <c r="N335" s="3"/>
    </row>
    <row r="336" spans="2:14" ht="13.5" customHeight="1" x14ac:dyDescent="0.25">
      <c r="B336" s="1"/>
      <c r="E336" s="2"/>
      <c r="N336" s="3"/>
    </row>
    <row r="337" spans="2:14" ht="13.5" customHeight="1" x14ac:dyDescent="0.25">
      <c r="B337" s="1"/>
      <c r="E337" s="2"/>
      <c r="N337" s="3"/>
    </row>
    <row r="338" spans="2:14" ht="13.5" customHeight="1" x14ac:dyDescent="0.25">
      <c r="B338" s="1"/>
      <c r="E338" s="2"/>
      <c r="N338" s="3"/>
    </row>
    <row r="339" spans="2:14" ht="13.5" customHeight="1" x14ac:dyDescent="0.25">
      <c r="B339" s="1"/>
      <c r="E339" s="2"/>
      <c r="N339" s="3"/>
    </row>
    <row r="340" spans="2:14" ht="13.5" customHeight="1" x14ac:dyDescent="0.25">
      <c r="B340" s="1"/>
      <c r="E340" s="2"/>
      <c r="N340" s="3"/>
    </row>
    <row r="341" spans="2:14" ht="13.5" customHeight="1" x14ac:dyDescent="0.25">
      <c r="B341" s="1"/>
      <c r="E341" s="2"/>
      <c r="N341" s="3"/>
    </row>
    <row r="342" spans="2:14" ht="13.5" customHeight="1" x14ac:dyDescent="0.25">
      <c r="B342" s="1"/>
      <c r="E342" s="2"/>
      <c r="N342" s="3"/>
    </row>
    <row r="343" spans="2:14" ht="13.5" customHeight="1" x14ac:dyDescent="0.25">
      <c r="B343" s="1"/>
      <c r="E343" s="2"/>
      <c r="N343" s="3"/>
    </row>
    <row r="344" spans="2:14" ht="13.5" customHeight="1" x14ac:dyDescent="0.25">
      <c r="B344" s="1"/>
      <c r="E344" s="2"/>
      <c r="N344" s="3"/>
    </row>
    <row r="345" spans="2:14" ht="13.5" customHeight="1" x14ac:dyDescent="0.25">
      <c r="B345" s="1"/>
      <c r="E345" s="2"/>
      <c r="N345" s="3"/>
    </row>
    <row r="346" spans="2:14" ht="13.5" customHeight="1" x14ac:dyDescent="0.25">
      <c r="B346" s="1"/>
      <c r="E346" s="2"/>
      <c r="N346" s="3"/>
    </row>
    <row r="347" spans="2:14" ht="13.5" customHeight="1" x14ac:dyDescent="0.25">
      <c r="B347" s="1"/>
      <c r="E347" s="2"/>
      <c r="N347" s="3"/>
    </row>
    <row r="348" spans="2:14" ht="13.5" customHeight="1" x14ac:dyDescent="0.25">
      <c r="B348" s="1"/>
      <c r="E348" s="2"/>
      <c r="N348" s="3"/>
    </row>
    <row r="349" spans="2:14" ht="13.5" customHeight="1" x14ac:dyDescent="0.25">
      <c r="B349" s="1"/>
      <c r="E349" s="2"/>
      <c r="N349" s="3"/>
    </row>
    <row r="350" spans="2:14" ht="13.5" customHeight="1" x14ac:dyDescent="0.25">
      <c r="B350" s="1"/>
      <c r="E350" s="2"/>
      <c r="N350" s="3"/>
    </row>
    <row r="351" spans="2:14" ht="13.5" customHeight="1" x14ac:dyDescent="0.25">
      <c r="B351" s="1"/>
      <c r="E351" s="2"/>
      <c r="N351" s="3"/>
    </row>
    <row r="352" spans="2:14" ht="13.5" customHeight="1" x14ac:dyDescent="0.25">
      <c r="B352" s="1"/>
      <c r="E352" s="2"/>
      <c r="N352" s="3"/>
    </row>
    <row r="353" spans="2:14" ht="13.5" customHeight="1" x14ac:dyDescent="0.25">
      <c r="B353" s="1"/>
      <c r="E353" s="2"/>
      <c r="N353" s="3"/>
    </row>
    <row r="354" spans="2:14" ht="13.5" customHeight="1" x14ac:dyDescent="0.25">
      <c r="B354" s="1"/>
      <c r="E354" s="2"/>
      <c r="N354" s="3"/>
    </row>
    <row r="355" spans="2:14" ht="13.5" customHeight="1" x14ac:dyDescent="0.25">
      <c r="B355" s="1"/>
      <c r="E355" s="2"/>
      <c r="N355" s="3"/>
    </row>
    <row r="356" spans="2:14" ht="13.5" customHeight="1" x14ac:dyDescent="0.25">
      <c r="B356" s="1"/>
      <c r="E356" s="2"/>
      <c r="N356" s="3"/>
    </row>
    <row r="357" spans="2:14" ht="13.5" customHeight="1" x14ac:dyDescent="0.25">
      <c r="B357" s="1"/>
      <c r="E357" s="2"/>
      <c r="N357" s="3"/>
    </row>
    <row r="358" spans="2:14" ht="13.5" customHeight="1" x14ac:dyDescent="0.25">
      <c r="B358" s="1"/>
      <c r="E358" s="2"/>
      <c r="N358" s="3"/>
    </row>
    <row r="359" spans="2:14" ht="13.5" customHeight="1" x14ac:dyDescent="0.25">
      <c r="B359" s="1"/>
      <c r="E359" s="2"/>
      <c r="N359" s="3"/>
    </row>
    <row r="360" spans="2:14" ht="13.5" customHeight="1" x14ac:dyDescent="0.25">
      <c r="B360" s="1"/>
      <c r="E360" s="2"/>
      <c r="N360" s="3"/>
    </row>
    <row r="361" spans="2:14" ht="13.5" customHeight="1" x14ac:dyDescent="0.25">
      <c r="B361" s="1"/>
      <c r="E361" s="2"/>
      <c r="N361" s="3"/>
    </row>
    <row r="362" spans="2:14" ht="13.5" customHeight="1" x14ac:dyDescent="0.25">
      <c r="B362" s="1"/>
      <c r="E362" s="2"/>
      <c r="N362" s="3"/>
    </row>
    <row r="363" spans="2:14" ht="13.5" customHeight="1" x14ac:dyDescent="0.25">
      <c r="B363" s="1"/>
      <c r="E363" s="2"/>
      <c r="N363" s="3"/>
    </row>
    <row r="364" spans="2:14" ht="13.5" customHeight="1" x14ac:dyDescent="0.25">
      <c r="B364" s="1"/>
      <c r="E364" s="2"/>
      <c r="N364" s="3"/>
    </row>
    <row r="365" spans="2:14" ht="13.5" customHeight="1" x14ac:dyDescent="0.25">
      <c r="B365" s="1"/>
      <c r="E365" s="2"/>
      <c r="N365" s="3"/>
    </row>
    <row r="366" spans="2:14" ht="13.5" customHeight="1" x14ac:dyDescent="0.25">
      <c r="B366" s="1"/>
      <c r="E366" s="2"/>
      <c r="N366" s="3"/>
    </row>
    <row r="367" spans="2:14" ht="13.5" customHeight="1" x14ac:dyDescent="0.25">
      <c r="B367" s="1"/>
      <c r="E367" s="2"/>
      <c r="N367" s="3"/>
    </row>
    <row r="368" spans="2:14" ht="13.5" customHeight="1" x14ac:dyDescent="0.25">
      <c r="B368" s="1"/>
      <c r="E368" s="2"/>
      <c r="N368" s="3"/>
    </row>
    <row r="369" spans="2:14" ht="13.5" customHeight="1" x14ac:dyDescent="0.25">
      <c r="B369" s="1"/>
      <c r="E369" s="2"/>
      <c r="N369" s="3"/>
    </row>
    <row r="370" spans="2:14" ht="13.5" customHeight="1" x14ac:dyDescent="0.25">
      <c r="B370" s="1"/>
      <c r="E370" s="2"/>
      <c r="N370" s="3"/>
    </row>
    <row r="371" spans="2:14" ht="13.5" customHeight="1" x14ac:dyDescent="0.25">
      <c r="B371" s="1"/>
      <c r="E371" s="2"/>
      <c r="N371" s="3"/>
    </row>
    <row r="372" spans="2:14" ht="13.5" customHeight="1" x14ac:dyDescent="0.25">
      <c r="B372" s="1"/>
      <c r="E372" s="2"/>
      <c r="N372" s="3"/>
    </row>
    <row r="373" spans="2:14" ht="13.5" customHeight="1" x14ac:dyDescent="0.25">
      <c r="B373" s="1"/>
      <c r="E373" s="2"/>
      <c r="N373" s="3"/>
    </row>
    <row r="374" spans="2:14" ht="13.5" customHeight="1" x14ac:dyDescent="0.25">
      <c r="B374" s="1"/>
      <c r="E374" s="2"/>
      <c r="N374" s="3"/>
    </row>
    <row r="375" spans="2:14" ht="13.5" customHeight="1" x14ac:dyDescent="0.25">
      <c r="B375" s="1"/>
      <c r="E375" s="2"/>
      <c r="N375" s="3"/>
    </row>
    <row r="376" spans="2:14" ht="13.5" customHeight="1" x14ac:dyDescent="0.25">
      <c r="B376" s="1"/>
      <c r="E376" s="2"/>
      <c r="N376" s="3"/>
    </row>
    <row r="377" spans="2:14" ht="13.5" customHeight="1" x14ac:dyDescent="0.25">
      <c r="B377" s="1"/>
      <c r="E377" s="2"/>
      <c r="N377" s="3"/>
    </row>
    <row r="378" spans="2:14" ht="13.5" customHeight="1" x14ac:dyDescent="0.25">
      <c r="B378" s="1"/>
      <c r="E378" s="2"/>
      <c r="N378" s="3"/>
    </row>
    <row r="379" spans="2:14" ht="13.5" customHeight="1" x14ac:dyDescent="0.25">
      <c r="B379" s="1"/>
      <c r="E379" s="2"/>
      <c r="N379" s="3"/>
    </row>
    <row r="380" spans="2:14" ht="13.5" customHeight="1" x14ac:dyDescent="0.25">
      <c r="B380" s="1"/>
      <c r="E380" s="2"/>
      <c r="N380" s="3"/>
    </row>
    <row r="381" spans="2:14" ht="13.5" customHeight="1" x14ac:dyDescent="0.25">
      <c r="B381" s="1"/>
      <c r="E381" s="2"/>
      <c r="N381" s="3"/>
    </row>
    <row r="382" spans="2:14" ht="13.5" customHeight="1" x14ac:dyDescent="0.25">
      <c r="B382" s="1"/>
      <c r="E382" s="2"/>
      <c r="N382" s="3"/>
    </row>
    <row r="383" spans="2:14" ht="13.5" customHeight="1" x14ac:dyDescent="0.25">
      <c r="B383" s="1"/>
      <c r="E383" s="2"/>
      <c r="N383" s="3"/>
    </row>
    <row r="384" spans="2:14" ht="13.5" customHeight="1" x14ac:dyDescent="0.25">
      <c r="B384" s="1"/>
      <c r="E384" s="2"/>
      <c r="N384" s="3"/>
    </row>
    <row r="385" spans="2:14" ht="13.5" customHeight="1" x14ac:dyDescent="0.25">
      <c r="B385" s="1"/>
      <c r="E385" s="2"/>
      <c r="N385" s="3"/>
    </row>
    <row r="386" spans="2:14" ht="13.5" customHeight="1" x14ac:dyDescent="0.25">
      <c r="B386" s="1"/>
      <c r="E386" s="2"/>
      <c r="N386" s="3"/>
    </row>
    <row r="387" spans="2:14" ht="13.5" customHeight="1" x14ac:dyDescent="0.25">
      <c r="B387" s="1"/>
      <c r="E387" s="2"/>
      <c r="N387" s="3"/>
    </row>
    <row r="388" spans="2:14" ht="13.5" customHeight="1" x14ac:dyDescent="0.25">
      <c r="B388" s="1"/>
      <c r="E388" s="2"/>
      <c r="N388" s="3"/>
    </row>
    <row r="389" spans="2:14" ht="13.5" customHeight="1" x14ac:dyDescent="0.25">
      <c r="B389" s="1"/>
      <c r="E389" s="2"/>
      <c r="N389" s="3"/>
    </row>
    <row r="390" spans="2:14" ht="13.5" customHeight="1" x14ac:dyDescent="0.25">
      <c r="B390" s="1"/>
      <c r="E390" s="2"/>
      <c r="N390" s="3"/>
    </row>
    <row r="391" spans="2:14" ht="13.5" customHeight="1" x14ac:dyDescent="0.25">
      <c r="B391" s="1"/>
      <c r="E391" s="2"/>
      <c r="N391" s="3"/>
    </row>
    <row r="392" spans="2:14" ht="13.5" customHeight="1" x14ac:dyDescent="0.25">
      <c r="B392" s="1"/>
      <c r="E392" s="2"/>
      <c r="N392" s="3"/>
    </row>
    <row r="393" spans="2:14" ht="13.5" customHeight="1" x14ac:dyDescent="0.25">
      <c r="B393" s="1"/>
      <c r="E393" s="2"/>
      <c r="N393" s="3"/>
    </row>
    <row r="394" spans="2:14" ht="13.5" customHeight="1" x14ac:dyDescent="0.25">
      <c r="B394" s="1"/>
      <c r="E394" s="2"/>
      <c r="N394" s="3"/>
    </row>
    <row r="395" spans="2:14" ht="13.5" customHeight="1" x14ac:dyDescent="0.25">
      <c r="B395" s="1"/>
      <c r="E395" s="2"/>
      <c r="N395" s="3"/>
    </row>
    <row r="396" spans="2:14" ht="13.5" customHeight="1" x14ac:dyDescent="0.25">
      <c r="B396" s="1"/>
      <c r="E396" s="2"/>
      <c r="N396" s="3"/>
    </row>
    <row r="397" spans="2:14" ht="13.5" customHeight="1" x14ac:dyDescent="0.25">
      <c r="B397" s="1"/>
      <c r="E397" s="2"/>
      <c r="N397" s="3"/>
    </row>
    <row r="398" spans="2:14" ht="13.5" customHeight="1" x14ac:dyDescent="0.25">
      <c r="B398" s="1"/>
      <c r="E398" s="2"/>
      <c r="N398" s="3"/>
    </row>
    <row r="399" spans="2:14" ht="13.5" customHeight="1" x14ac:dyDescent="0.25">
      <c r="B399" s="1"/>
      <c r="E399" s="2"/>
      <c r="N399" s="3"/>
    </row>
    <row r="400" spans="2:14" ht="13.5" customHeight="1" x14ac:dyDescent="0.25">
      <c r="B400" s="1"/>
      <c r="E400" s="2"/>
      <c r="N400" s="3"/>
    </row>
    <row r="401" spans="2:14" ht="13.5" customHeight="1" x14ac:dyDescent="0.25">
      <c r="B401" s="1"/>
      <c r="E401" s="2"/>
      <c r="N401" s="3"/>
    </row>
    <row r="402" spans="2:14" ht="13.5" customHeight="1" x14ac:dyDescent="0.25">
      <c r="B402" s="1"/>
      <c r="E402" s="2"/>
      <c r="N402" s="3"/>
    </row>
    <row r="403" spans="2:14" ht="13.5" customHeight="1" x14ac:dyDescent="0.25">
      <c r="B403" s="1"/>
      <c r="E403" s="2"/>
      <c r="N403" s="3"/>
    </row>
    <row r="404" spans="2:14" ht="13.5" customHeight="1" x14ac:dyDescent="0.25">
      <c r="B404" s="1"/>
      <c r="E404" s="2"/>
      <c r="N404" s="3"/>
    </row>
    <row r="405" spans="2:14" ht="13.5" customHeight="1" x14ac:dyDescent="0.25">
      <c r="B405" s="1"/>
      <c r="E405" s="2"/>
      <c r="N405" s="3"/>
    </row>
    <row r="406" spans="2:14" ht="13.5" customHeight="1" x14ac:dyDescent="0.25">
      <c r="B406" s="1"/>
      <c r="E406" s="2"/>
      <c r="N406" s="3"/>
    </row>
    <row r="407" spans="2:14" ht="13.5" customHeight="1" x14ac:dyDescent="0.25">
      <c r="B407" s="1"/>
      <c r="E407" s="2"/>
      <c r="N407" s="3"/>
    </row>
    <row r="408" spans="2:14" ht="13.5" customHeight="1" x14ac:dyDescent="0.25">
      <c r="B408" s="1"/>
      <c r="E408" s="2"/>
      <c r="N408" s="3"/>
    </row>
    <row r="409" spans="2:14" ht="13.5" customHeight="1" x14ac:dyDescent="0.25">
      <c r="B409" s="1"/>
      <c r="E409" s="2"/>
      <c r="N409" s="3"/>
    </row>
    <row r="410" spans="2:14" ht="13.5" customHeight="1" x14ac:dyDescent="0.25">
      <c r="B410" s="1"/>
      <c r="E410" s="2"/>
      <c r="N410" s="3"/>
    </row>
    <row r="411" spans="2:14" ht="13.5" customHeight="1" x14ac:dyDescent="0.25">
      <c r="B411" s="1"/>
      <c r="E411" s="2"/>
      <c r="N411" s="3"/>
    </row>
    <row r="412" spans="2:14" ht="13.5" customHeight="1" x14ac:dyDescent="0.25">
      <c r="B412" s="1"/>
      <c r="E412" s="2"/>
      <c r="N412" s="3"/>
    </row>
    <row r="413" spans="2:14" ht="13.5" customHeight="1" x14ac:dyDescent="0.25">
      <c r="B413" s="1"/>
      <c r="E413" s="2"/>
      <c r="N413" s="3"/>
    </row>
    <row r="414" spans="2:14" ht="13.5" customHeight="1" x14ac:dyDescent="0.25">
      <c r="B414" s="1"/>
      <c r="E414" s="2"/>
      <c r="N414" s="3"/>
    </row>
    <row r="415" spans="2:14" ht="13.5" customHeight="1" x14ac:dyDescent="0.25">
      <c r="B415" s="1"/>
      <c r="E415" s="2"/>
      <c r="N415" s="3"/>
    </row>
    <row r="416" spans="2:14" ht="13.5" customHeight="1" x14ac:dyDescent="0.25">
      <c r="B416" s="1"/>
      <c r="E416" s="2"/>
      <c r="N416" s="3"/>
    </row>
    <row r="417" spans="2:14" ht="13.5" customHeight="1" x14ac:dyDescent="0.25">
      <c r="B417" s="1"/>
      <c r="E417" s="2"/>
      <c r="N417" s="3"/>
    </row>
    <row r="418" spans="2:14" ht="13.5" customHeight="1" x14ac:dyDescent="0.25">
      <c r="B418" s="1"/>
      <c r="E418" s="2"/>
      <c r="N418" s="3"/>
    </row>
    <row r="419" spans="2:14" ht="13.5" customHeight="1" x14ac:dyDescent="0.25">
      <c r="B419" s="1"/>
      <c r="E419" s="2"/>
      <c r="N419" s="3"/>
    </row>
    <row r="420" spans="2:14" ht="13.5" customHeight="1" x14ac:dyDescent="0.25">
      <c r="B420" s="1"/>
      <c r="E420" s="2"/>
      <c r="N420" s="3"/>
    </row>
    <row r="421" spans="2:14" ht="13.5" customHeight="1" x14ac:dyDescent="0.25">
      <c r="B421" s="1"/>
      <c r="E421" s="2"/>
      <c r="N421" s="3"/>
    </row>
    <row r="422" spans="2:14" ht="13.5" customHeight="1" x14ac:dyDescent="0.25">
      <c r="B422" s="1"/>
      <c r="E422" s="2"/>
      <c r="N422" s="3"/>
    </row>
    <row r="423" spans="2:14" ht="13.5" customHeight="1" x14ac:dyDescent="0.25">
      <c r="B423" s="1"/>
      <c r="E423" s="2"/>
      <c r="N423" s="3"/>
    </row>
    <row r="424" spans="2:14" ht="13.5" customHeight="1" x14ac:dyDescent="0.25">
      <c r="B424" s="1"/>
      <c r="E424" s="2"/>
      <c r="N424" s="3"/>
    </row>
    <row r="425" spans="2:14" ht="13.5" customHeight="1" x14ac:dyDescent="0.25">
      <c r="B425" s="1"/>
      <c r="E425" s="2"/>
      <c r="N425" s="3"/>
    </row>
    <row r="426" spans="2:14" ht="13.5" customHeight="1" x14ac:dyDescent="0.25">
      <c r="B426" s="1"/>
      <c r="E426" s="2"/>
      <c r="N426" s="3"/>
    </row>
    <row r="427" spans="2:14" ht="13.5" customHeight="1" x14ac:dyDescent="0.25">
      <c r="B427" s="1"/>
      <c r="E427" s="2"/>
      <c r="N427" s="3"/>
    </row>
    <row r="428" spans="2:14" ht="13.5" customHeight="1" x14ac:dyDescent="0.25">
      <c r="B428" s="1"/>
      <c r="E428" s="2"/>
      <c r="N428" s="3"/>
    </row>
    <row r="429" spans="2:14" ht="13.5" customHeight="1" x14ac:dyDescent="0.25">
      <c r="B429" s="1"/>
      <c r="E429" s="2"/>
      <c r="N429" s="3"/>
    </row>
    <row r="430" spans="2:14" ht="13.5" customHeight="1" x14ac:dyDescent="0.25">
      <c r="B430" s="1"/>
      <c r="E430" s="2"/>
      <c r="N430" s="3"/>
    </row>
    <row r="431" spans="2:14" ht="13.5" customHeight="1" x14ac:dyDescent="0.25">
      <c r="B431" s="1"/>
      <c r="E431" s="2"/>
      <c r="N431" s="3"/>
    </row>
    <row r="432" spans="2:14" ht="13.5" customHeight="1" x14ac:dyDescent="0.25">
      <c r="B432" s="1"/>
      <c r="E432" s="2"/>
      <c r="N432" s="3"/>
    </row>
    <row r="433" spans="2:14" ht="13.5" customHeight="1" x14ac:dyDescent="0.25">
      <c r="B433" s="1"/>
      <c r="E433" s="2"/>
      <c r="N433" s="3"/>
    </row>
    <row r="434" spans="2:14" ht="13.5" customHeight="1" x14ac:dyDescent="0.25">
      <c r="B434" s="1"/>
      <c r="E434" s="2"/>
      <c r="N434" s="3"/>
    </row>
    <row r="435" spans="2:14" ht="13.5" customHeight="1" x14ac:dyDescent="0.25">
      <c r="B435" s="1"/>
      <c r="E435" s="2"/>
      <c r="N435" s="3"/>
    </row>
    <row r="436" spans="2:14" ht="13.5" customHeight="1" x14ac:dyDescent="0.25">
      <c r="B436" s="1"/>
      <c r="E436" s="2"/>
      <c r="N436" s="3"/>
    </row>
    <row r="437" spans="2:14" ht="13.5" customHeight="1" x14ac:dyDescent="0.25">
      <c r="B437" s="1"/>
      <c r="E437" s="2"/>
      <c r="N437" s="3"/>
    </row>
    <row r="438" spans="2:14" ht="13.5" customHeight="1" x14ac:dyDescent="0.25">
      <c r="B438" s="1"/>
      <c r="E438" s="2"/>
      <c r="N438" s="3"/>
    </row>
    <row r="439" spans="2:14" ht="13.5" customHeight="1" x14ac:dyDescent="0.25">
      <c r="B439" s="1"/>
      <c r="E439" s="2"/>
      <c r="N439" s="3"/>
    </row>
    <row r="440" spans="2:14" ht="13.5" customHeight="1" x14ac:dyDescent="0.25">
      <c r="B440" s="1"/>
      <c r="E440" s="2"/>
      <c r="N440" s="3"/>
    </row>
    <row r="441" spans="2:14" ht="13.5" customHeight="1" x14ac:dyDescent="0.25">
      <c r="B441" s="1"/>
      <c r="E441" s="2"/>
      <c r="N441" s="3"/>
    </row>
    <row r="442" spans="2:14" ht="13.5" customHeight="1" x14ac:dyDescent="0.25">
      <c r="B442" s="1"/>
      <c r="E442" s="2"/>
      <c r="N442" s="3"/>
    </row>
    <row r="443" spans="2:14" ht="13.5" customHeight="1" x14ac:dyDescent="0.25">
      <c r="B443" s="1"/>
      <c r="E443" s="2"/>
      <c r="N443" s="3"/>
    </row>
    <row r="444" spans="2:14" ht="13.5" customHeight="1" x14ac:dyDescent="0.25">
      <c r="B444" s="1"/>
      <c r="E444" s="2"/>
      <c r="N444" s="3"/>
    </row>
    <row r="445" spans="2:14" ht="13.5" customHeight="1" x14ac:dyDescent="0.25">
      <c r="B445" s="1"/>
      <c r="E445" s="2"/>
      <c r="N445" s="3"/>
    </row>
    <row r="446" spans="2:14" ht="13.5" customHeight="1" x14ac:dyDescent="0.25">
      <c r="B446" s="1"/>
      <c r="E446" s="2"/>
      <c r="N446" s="3"/>
    </row>
    <row r="447" spans="2:14" ht="13.5" customHeight="1" x14ac:dyDescent="0.25">
      <c r="B447" s="1"/>
      <c r="E447" s="2"/>
      <c r="N447" s="3"/>
    </row>
    <row r="448" spans="2:14" ht="13.5" customHeight="1" x14ac:dyDescent="0.25">
      <c r="B448" s="1"/>
      <c r="E448" s="2"/>
      <c r="N448" s="3"/>
    </row>
    <row r="449" spans="2:14" ht="13.5" customHeight="1" x14ac:dyDescent="0.25">
      <c r="B449" s="1"/>
      <c r="E449" s="2"/>
      <c r="N449" s="3"/>
    </row>
    <row r="450" spans="2:14" ht="13.5" customHeight="1" x14ac:dyDescent="0.25">
      <c r="B450" s="1"/>
      <c r="E450" s="2"/>
      <c r="N450" s="3"/>
    </row>
    <row r="451" spans="2:14" ht="13.5" customHeight="1" x14ac:dyDescent="0.25">
      <c r="B451" s="1"/>
      <c r="E451" s="2"/>
      <c r="N451" s="3"/>
    </row>
    <row r="452" spans="2:14" ht="13.5" customHeight="1" x14ac:dyDescent="0.25">
      <c r="B452" s="1"/>
      <c r="E452" s="2"/>
      <c r="N452" s="3"/>
    </row>
    <row r="453" spans="2:14" ht="13.5" customHeight="1" x14ac:dyDescent="0.25">
      <c r="B453" s="1"/>
      <c r="E453" s="2"/>
      <c r="N453" s="3"/>
    </row>
    <row r="454" spans="2:14" ht="13.5" customHeight="1" x14ac:dyDescent="0.25">
      <c r="B454" s="1"/>
      <c r="E454" s="2"/>
      <c r="N454" s="3"/>
    </row>
    <row r="455" spans="2:14" ht="13.5" customHeight="1" x14ac:dyDescent="0.25">
      <c r="B455" s="1"/>
      <c r="E455" s="2"/>
      <c r="N455" s="3"/>
    </row>
    <row r="456" spans="2:14" ht="13.5" customHeight="1" x14ac:dyDescent="0.25">
      <c r="B456" s="1"/>
      <c r="E456" s="2"/>
      <c r="N456" s="3"/>
    </row>
    <row r="457" spans="2:14" ht="13.5" customHeight="1" x14ac:dyDescent="0.25">
      <c r="B457" s="1"/>
      <c r="E457" s="2"/>
      <c r="N457" s="3"/>
    </row>
    <row r="458" spans="2:14" ht="13.5" customHeight="1" x14ac:dyDescent="0.25">
      <c r="B458" s="1"/>
      <c r="E458" s="2"/>
      <c r="N458" s="3"/>
    </row>
    <row r="459" spans="2:14" ht="13.5" customHeight="1" x14ac:dyDescent="0.25">
      <c r="B459" s="1"/>
      <c r="E459" s="2"/>
      <c r="N459" s="3"/>
    </row>
    <row r="460" spans="2:14" ht="13.5" customHeight="1" x14ac:dyDescent="0.25">
      <c r="B460" s="1"/>
      <c r="E460" s="2"/>
      <c r="N460" s="3"/>
    </row>
    <row r="461" spans="2:14" ht="13.5" customHeight="1" x14ac:dyDescent="0.25">
      <c r="B461" s="1"/>
      <c r="E461" s="2"/>
      <c r="N461" s="3"/>
    </row>
    <row r="462" spans="2:14" ht="13.5" customHeight="1" x14ac:dyDescent="0.25">
      <c r="B462" s="1"/>
      <c r="E462" s="2"/>
      <c r="N462" s="3"/>
    </row>
    <row r="463" spans="2:14" ht="13.5" customHeight="1" x14ac:dyDescent="0.25">
      <c r="B463" s="1"/>
      <c r="E463" s="2"/>
      <c r="N463" s="3"/>
    </row>
    <row r="464" spans="2:14" ht="13.5" customHeight="1" x14ac:dyDescent="0.25">
      <c r="B464" s="1"/>
      <c r="E464" s="2"/>
      <c r="N464" s="3"/>
    </row>
    <row r="465" spans="2:14" ht="13.5" customHeight="1" x14ac:dyDescent="0.25">
      <c r="B465" s="1"/>
      <c r="E465" s="2"/>
      <c r="N465" s="3"/>
    </row>
    <row r="466" spans="2:14" ht="13.5" customHeight="1" x14ac:dyDescent="0.25">
      <c r="B466" s="1"/>
      <c r="E466" s="2"/>
      <c r="N466" s="3"/>
    </row>
    <row r="467" spans="2:14" ht="13.5" customHeight="1" x14ac:dyDescent="0.25">
      <c r="B467" s="1"/>
      <c r="E467" s="2"/>
      <c r="N467" s="3"/>
    </row>
    <row r="468" spans="2:14" ht="13.5" customHeight="1" x14ac:dyDescent="0.25">
      <c r="B468" s="1"/>
      <c r="E468" s="2"/>
      <c r="N468" s="3"/>
    </row>
    <row r="469" spans="2:14" ht="13.5" customHeight="1" x14ac:dyDescent="0.25">
      <c r="B469" s="1"/>
      <c r="E469" s="2"/>
      <c r="N469" s="3"/>
    </row>
    <row r="470" spans="2:14" ht="13.5" customHeight="1" x14ac:dyDescent="0.25">
      <c r="B470" s="1"/>
      <c r="E470" s="2"/>
      <c r="N470" s="3"/>
    </row>
    <row r="471" spans="2:14" ht="13.5" customHeight="1" x14ac:dyDescent="0.25">
      <c r="B471" s="1"/>
      <c r="E471" s="2"/>
      <c r="N471" s="3"/>
    </row>
    <row r="472" spans="2:14" ht="13.5" customHeight="1" x14ac:dyDescent="0.25">
      <c r="B472" s="1"/>
      <c r="E472" s="2"/>
      <c r="N472" s="3"/>
    </row>
    <row r="473" spans="2:14" ht="13.5" customHeight="1" x14ac:dyDescent="0.25">
      <c r="B473" s="1"/>
      <c r="E473" s="2"/>
      <c r="N473" s="3"/>
    </row>
    <row r="474" spans="2:14" ht="13.5" customHeight="1" x14ac:dyDescent="0.25">
      <c r="B474" s="1"/>
      <c r="E474" s="2"/>
      <c r="N474" s="3"/>
    </row>
    <row r="475" spans="2:14" ht="13.5" customHeight="1" x14ac:dyDescent="0.25">
      <c r="B475" s="1"/>
      <c r="E475" s="2"/>
      <c r="N475" s="3"/>
    </row>
    <row r="476" spans="2:14" ht="13.5" customHeight="1" x14ac:dyDescent="0.25">
      <c r="B476" s="1"/>
      <c r="E476" s="2"/>
      <c r="N476" s="3"/>
    </row>
    <row r="477" spans="2:14" ht="13.5" customHeight="1" x14ac:dyDescent="0.25">
      <c r="B477" s="1"/>
      <c r="E477" s="2"/>
      <c r="N477" s="3"/>
    </row>
    <row r="478" spans="2:14" ht="13.5" customHeight="1" x14ac:dyDescent="0.25">
      <c r="B478" s="1"/>
      <c r="E478" s="2"/>
      <c r="N478" s="3"/>
    </row>
    <row r="479" spans="2:14" ht="13.5" customHeight="1" x14ac:dyDescent="0.25">
      <c r="B479" s="1"/>
      <c r="E479" s="2"/>
      <c r="N479" s="3"/>
    </row>
    <row r="480" spans="2:14" ht="13.5" customHeight="1" x14ac:dyDescent="0.25">
      <c r="B480" s="1"/>
      <c r="E480" s="2"/>
      <c r="N480" s="3"/>
    </row>
    <row r="481" spans="2:14" ht="13.5" customHeight="1" x14ac:dyDescent="0.25">
      <c r="B481" s="1"/>
      <c r="E481" s="2"/>
      <c r="N481" s="3"/>
    </row>
    <row r="482" spans="2:14" ht="13.5" customHeight="1" x14ac:dyDescent="0.25">
      <c r="B482" s="1"/>
      <c r="E482" s="2"/>
      <c r="N482" s="3"/>
    </row>
    <row r="483" spans="2:14" ht="13.5" customHeight="1" x14ac:dyDescent="0.25">
      <c r="B483" s="1"/>
      <c r="E483" s="2"/>
      <c r="N483" s="3"/>
    </row>
    <row r="484" spans="2:14" ht="13.5" customHeight="1" x14ac:dyDescent="0.25">
      <c r="B484" s="1"/>
      <c r="E484" s="2"/>
      <c r="N484" s="3"/>
    </row>
    <row r="485" spans="2:14" ht="13.5" customHeight="1" x14ac:dyDescent="0.25">
      <c r="B485" s="1"/>
      <c r="E485" s="2"/>
      <c r="N485" s="3"/>
    </row>
    <row r="486" spans="2:14" ht="13.5" customHeight="1" x14ac:dyDescent="0.25">
      <c r="B486" s="1"/>
      <c r="E486" s="2"/>
      <c r="N486" s="3"/>
    </row>
    <row r="487" spans="2:14" ht="13.5" customHeight="1" x14ac:dyDescent="0.25">
      <c r="B487" s="1"/>
      <c r="E487" s="2"/>
      <c r="N487" s="3"/>
    </row>
    <row r="488" spans="2:14" ht="13.5" customHeight="1" x14ac:dyDescent="0.25">
      <c r="B488" s="1"/>
      <c r="E488" s="2"/>
      <c r="N488" s="3"/>
    </row>
    <row r="489" spans="2:14" ht="13.5" customHeight="1" x14ac:dyDescent="0.25">
      <c r="B489" s="1"/>
      <c r="E489" s="2"/>
      <c r="N489" s="3"/>
    </row>
    <row r="490" spans="2:14" ht="13.5" customHeight="1" x14ac:dyDescent="0.25">
      <c r="B490" s="1"/>
      <c r="E490" s="2"/>
      <c r="N490" s="3"/>
    </row>
    <row r="491" spans="2:14" ht="13.5" customHeight="1" x14ac:dyDescent="0.25">
      <c r="B491" s="1"/>
      <c r="E491" s="2"/>
      <c r="N491" s="3"/>
    </row>
    <row r="492" spans="2:14" ht="13.5" customHeight="1" x14ac:dyDescent="0.25">
      <c r="B492" s="1"/>
      <c r="E492" s="2"/>
      <c r="N492" s="3"/>
    </row>
    <row r="493" spans="2:14" ht="13.5" customHeight="1" x14ac:dyDescent="0.25">
      <c r="B493" s="1"/>
      <c r="E493" s="2"/>
      <c r="N493" s="3"/>
    </row>
    <row r="494" spans="2:14" ht="13.5" customHeight="1" x14ac:dyDescent="0.25">
      <c r="B494" s="1"/>
      <c r="E494" s="2"/>
      <c r="N494" s="3"/>
    </row>
    <row r="495" spans="2:14" ht="13.5" customHeight="1" x14ac:dyDescent="0.25">
      <c r="B495" s="1"/>
      <c r="E495" s="2"/>
      <c r="N495" s="3"/>
    </row>
    <row r="496" spans="2:14" ht="13.5" customHeight="1" x14ac:dyDescent="0.25">
      <c r="B496" s="1"/>
      <c r="E496" s="2"/>
      <c r="N496" s="3"/>
    </row>
    <row r="497" spans="2:14" ht="13.5" customHeight="1" x14ac:dyDescent="0.25">
      <c r="B497" s="1"/>
      <c r="E497" s="2"/>
      <c r="N497" s="3"/>
    </row>
    <row r="498" spans="2:14" ht="13.5" customHeight="1" x14ac:dyDescent="0.25">
      <c r="B498" s="1"/>
      <c r="E498" s="2"/>
      <c r="N498" s="3"/>
    </row>
    <row r="499" spans="2:14" ht="13.5" customHeight="1" x14ac:dyDescent="0.25">
      <c r="B499" s="1"/>
      <c r="E499" s="2"/>
      <c r="N499" s="3"/>
    </row>
    <row r="500" spans="2:14" ht="13.5" customHeight="1" x14ac:dyDescent="0.25">
      <c r="B500" s="1"/>
      <c r="E500" s="2"/>
      <c r="N500" s="3"/>
    </row>
    <row r="501" spans="2:14" ht="13.5" customHeight="1" x14ac:dyDescent="0.25">
      <c r="B501" s="1"/>
      <c r="E501" s="2"/>
      <c r="N501" s="3"/>
    </row>
    <row r="502" spans="2:14" ht="13.5" customHeight="1" x14ac:dyDescent="0.25">
      <c r="B502" s="1"/>
      <c r="E502" s="2"/>
      <c r="N502" s="3"/>
    </row>
    <row r="503" spans="2:14" ht="13.5" customHeight="1" x14ac:dyDescent="0.25">
      <c r="B503" s="1"/>
      <c r="E503" s="2"/>
      <c r="N503" s="3"/>
    </row>
    <row r="504" spans="2:14" ht="13.5" customHeight="1" x14ac:dyDescent="0.25">
      <c r="B504" s="1"/>
      <c r="E504" s="2"/>
      <c r="N504" s="3"/>
    </row>
    <row r="505" spans="2:14" ht="13.5" customHeight="1" x14ac:dyDescent="0.25">
      <c r="B505" s="1"/>
      <c r="E505" s="2"/>
      <c r="N505" s="3"/>
    </row>
    <row r="506" spans="2:14" ht="13.5" customHeight="1" x14ac:dyDescent="0.25">
      <c r="B506" s="1"/>
      <c r="E506" s="2"/>
      <c r="N506" s="3"/>
    </row>
    <row r="507" spans="2:14" ht="13.5" customHeight="1" x14ac:dyDescent="0.25">
      <c r="B507" s="1"/>
      <c r="E507" s="2"/>
      <c r="N507" s="3"/>
    </row>
    <row r="508" spans="2:14" ht="13.5" customHeight="1" x14ac:dyDescent="0.25">
      <c r="B508" s="1"/>
      <c r="E508" s="2"/>
      <c r="N508" s="3"/>
    </row>
    <row r="509" spans="2:14" ht="13.5" customHeight="1" x14ac:dyDescent="0.25">
      <c r="B509" s="1"/>
      <c r="E509" s="2"/>
      <c r="N509" s="3"/>
    </row>
    <row r="510" spans="2:14" ht="13.5" customHeight="1" x14ac:dyDescent="0.25">
      <c r="B510" s="1"/>
      <c r="E510" s="2"/>
      <c r="N510" s="3"/>
    </row>
    <row r="511" spans="2:14" ht="13.5" customHeight="1" x14ac:dyDescent="0.25">
      <c r="B511" s="1"/>
      <c r="E511" s="2"/>
      <c r="N511" s="3"/>
    </row>
    <row r="512" spans="2:14" ht="13.5" customHeight="1" x14ac:dyDescent="0.25">
      <c r="B512" s="1"/>
      <c r="E512" s="2"/>
      <c r="N512" s="3"/>
    </row>
    <row r="513" spans="2:14" ht="13.5" customHeight="1" x14ac:dyDescent="0.25">
      <c r="B513" s="1"/>
      <c r="E513" s="2"/>
      <c r="N513" s="3"/>
    </row>
    <row r="514" spans="2:14" ht="13.5" customHeight="1" x14ac:dyDescent="0.25">
      <c r="B514" s="1"/>
      <c r="E514" s="2"/>
      <c r="N514" s="3"/>
    </row>
    <row r="515" spans="2:14" ht="13.5" customHeight="1" x14ac:dyDescent="0.25">
      <c r="B515" s="1"/>
      <c r="E515" s="2"/>
      <c r="N515" s="3"/>
    </row>
    <row r="516" spans="2:14" ht="13.5" customHeight="1" x14ac:dyDescent="0.25">
      <c r="B516" s="1"/>
      <c r="E516" s="2"/>
      <c r="N516" s="3"/>
    </row>
    <row r="517" spans="2:14" ht="13.5" customHeight="1" x14ac:dyDescent="0.25">
      <c r="B517" s="1"/>
      <c r="E517" s="2"/>
      <c r="N517" s="3"/>
    </row>
    <row r="518" spans="2:14" ht="13.5" customHeight="1" x14ac:dyDescent="0.25">
      <c r="B518" s="1"/>
      <c r="E518" s="2"/>
      <c r="N518" s="3"/>
    </row>
    <row r="519" spans="2:14" ht="13.5" customHeight="1" x14ac:dyDescent="0.25">
      <c r="B519" s="1"/>
      <c r="E519" s="2"/>
      <c r="N519" s="3"/>
    </row>
    <row r="520" spans="2:14" ht="13.5" customHeight="1" x14ac:dyDescent="0.25">
      <c r="B520" s="1"/>
      <c r="E520" s="2"/>
      <c r="N520" s="3"/>
    </row>
    <row r="521" spans="2:14" ht="13.5" customHeight="1" x14ac:dyDescent="0.25">
      <c r="B521" s="1"/>
      <c r="E521" s="2"/>
      <c r="N521" s="3"/>
    </row>
    <row r="522" spans="2:14" ht="13.5" customHeight="1" x14ac:dyDescent="0.25">
      <c r="B522" s="1"/>
      <c r="E522" s="2"/>
      <c r="N522" s="3"/>
    </row>
    <row r="523" spans="2:14" ht="13.5" customHeight="1" x14ac:dyDescent="0.25">
      <c r="B523" s="1"/>
      <c r="E523" s="2"/>
      <c r="N523" s="3"/>
    </row>
    <row r="524" spans="2:14" ht="13.5" customHeight="1" x14ac:dyDescent="0.25">
      <c r="B524" s="1"/>
      <c r="E524" s="2"/>
      <c r="N524" s="3"/>
    </row>
    <row r="525" spans="2:14" ht="13.5" customHeight="1" x14ac:dyDescent="0.25">
      <c r="B525" s="1"/>
      <c r="E525" s="2"/>
      <c r="N525" s="3"/>
    </row>
    <row r="526" spans="2:14" ht="13.5" customHeight="1" x14ac:dyDescent="0.25">
      <c r="B526" s="1"/>
      <c r="E526" s="2"/>
      <c r="N526" s="3"/>
    </row>
    <row r="527" spans="2:14" ht="13.5" customHeight="1" x14ac:dyDescent="0.25">
      <c r="B527" s="1"/>
      <c r="E527" s="2"/>
      <c r="N527" s="3"/>
    </row>
    <row r="528" spans="2:14" ht="13.5" customHeight="1" x14ac:dyDescent="0.25">
      <c r="B528" s="1"/>
      <c r="E528" s="2"/>
      <c r="N528" s="3"/>
    </row>
    <row r="529" spans="2:14" ht="13.5" customHeight="1" x14ac:dyDescent="0.25">
      <c r="B529" s="1"/>
      <c r="E529" s="2"/>
      <c r="N529" s="3"/>
    </row>
    <row r="530" spans="2:14" ht="13.5" customHeight="1" x14ac:dyDescent="0.25">
      <c r="B530" s="1"/>
      <c r="E530" s="2"/>
      <c r="N530" s="3"/>
    </row>
    <row r="531" spans="2:14" ht="13.5" customHeight="1" x14ac:dyDescent="0.25">
      <c r="B531" s="1"/>
      <c r="E531" s="2"/>
      <c r="N531" s="3"/>
    </row>
    <row r="532" spans="2:14" ht="13.5" customHeight="1" x14ac:dyDescent="0.25">
      <c r="B532" s="1"/>
      <c r="E532" s="2"/>
      <c r="N532" s="3"/>
    </row>
    <row r="533" spans="2:14" ht="13.5" customHeight="1" x14ac:dyDescent="0.25">
      <c r="B533" s="1"/>
      <c r="E533" s="2"/>
      <c r="N533" s="3"/>
    </row>
    <row r="534" spans="2:14" ht="13.5" customHeight="1" x14ac:dyDescent="0.25">
      <c r="B534" s="1"/>
      <c r="E534" s="2"/>
      <c r="N534" s="3"/>
    </row>
    <row r="535" spans="2:14" ht="13.5" customHeight="1" x14ac:dyDescent="0.25">
      <c r="B535" s="1"/>
      <c r="E535" s="2"/>
      <c r="N535" s="3"/>
    </row>
    <row r="536" spans="2:14" ht="13.5" customHeight="1" x14ac:dyDescent="0.25">
      <c r="B536" s="1"/>
      <c r="E536" s="2"/>
      <c r="N536" s="3"/>
    </row>
    <row r="537" spans="2:14" ht="13.5" customHeight="1" x14ac:dyDescent="0.25">
      <c r="B537" s="1"/>
      <c r="E537" s="2"/>
      <c r="N537" s="3"/>
    </row>
    <row r="538" spans="2:14" ht="13.5" customHeight="1" x14ac:dyDescent="0.25">
      <c r="B538" s="1"/>
      <c r="E538" s="2"/>
      <c r="N538" s="3"/>
    </row>
    <row r="539" spans="2:14" ht="13.5" customHeight="1" x14ac:dyDescent="0.25">
      <c r="B539" s="1"/>
      <c r="E539" s="2"/>
      <c r="N539" s="3"/>
    </row>
    <row r="540" spans="2:14" ht="13.5" customHeight="1" x14ac:dyDescent="0.25">
      <c r="B540" s="1"/>
      <c r="E540" s="2"/>
      <c r="N540" s="3"/>
    </row>
    <row r="541" spans="2:14" ht="13.5" customHeight="1" x14ac:dyDescent="0.25">
      <c r="B541" s="1"/>
      <c r="E541" s="2"/>
      <c r="N541" s="3"/>
    </row>
    <row r="542" spans="2:14" ht="13.5" customHeight="1" x14ac:dyDescent="0.25">
      <c r="B542" s="1"/>
      <c r="E542" s="2"/>
      <c r="N542" s="3"/>
    </row>
    <row r="543" spans="2:14" ht="13.5" customHeight="1" x14ac:dyDescent="0.25">
      <c r="B543" s="1"/>
      <c r="E543" s="2"/>
      <c r="N543" s="3"/>
    </row>
    <row r="544" spans="2:14" ht="13.5" customHeight="1" x14ac:dyDescent="0.25">
      <c r="B544" s="1"/>
      <c r="E544" s="2"/>
      <c r="N544" s="3"/>
    </row>
    <row r="545" spans="2:14" ht="13.5" customHeight="1" x14ac:dyDescent="0.25">
      <c r="B545" s="1"/>
      <c r="E545" s="2"/>
      <c r="N545" s="3"/>
    </row>
    <row r="546" spans="2:14" ht="13.5" customHeight="1" x14ac:dyDescent="0.25">
      <c r="B546" s="1"/>
      <c r="E546" s="2"/>
      <c r="N546" s="3"/>
    </row>
    <row r="547" spans="2:14" ht="13.5" customHeight="1" x14ac:dyDescent="0.25">
      <c r="B547" s="1"/>
      <c r="E547" s="2"/>
      <c r="N547" s="3"/>
    </row>
    <row r="548" spans="2:14" ht="13.5" customHeight="1" x14ac:dyDescent="0.25">
      <c r="B548" s="1"/>
      <c r="E548" s="2"/>
      <c r="N548" s="3"/>
    </row>
    <row r="549" spans="2:14" ht="13.5" customHeight="1" x14ac:dyDescent="0.25">
      <c r="B549" s="1"/>
      <c r="E549" s="2"/>
      <c r="N549" s="3"/>
    </row>
    <row r="550" spans="2:14" ht="13.5" customHeight="1" x14ac:dyDescent="0.25">
      <c r="B550" s="1"/>
      <c r="E550" s="2"/>
      <c r="N550" s="3"/>
    </row>
    <row r="551" spans="2:14" ht="13.5" customHeight="1" x14ac:dyDescent="0.25">
      <c r="B551" s="1"/>
      <c r="E551" s="2"/>
      <c r="N551" s="3"/>
    </row>
    <row r="552" spans="2:14" ht="13.5" customHeight="1" x14ac:dyDescent="0.25">
      <c r="B552" s="1"/>
      <c r="E552" s="2"/>
      <c r="N552" s="3"/>
    </row>
    <row r="553" spans="2:14" ht="13.5" customHeight="1" x14ac:dyDescent="0.25">
      <c r="B553" s="1"/>
      <c r="E553" s="2"/>
      <c r="N553" s="3"/>
    </row>
    <row r="554" spans="2:14" ht="13.5" customHeight="1" x14ac:dyDescent="0.25">
      <c r="B554" s="1"/>
      <c r="E554" s="2"/>
      <c r="N554" s="3"/>
    </row>
    <row r="555" spans="2:14" ht="13.5" customHeight="1" x14ac:dyDescent="0.25">
      <c r="B555" s="1"/>
      <c r="E555" s="2"/>
      <c r="N555" s="3"/>
    </row>
    <row r="556" spans="2:14" ht="13.5" customHeight="1" x14ac:dyDescent="0.25">
      <c r="B556" s="1"/>
      <c r="E556" s="2"/>
      <c r="N556" s="3"/>
    </row>
    <row r="557" spans="2:14" ht="13.5" customHeight="1" x14ac:dyDescent="0.25">
      <c r="B557" s="1"/>
      <c r="E557" s="2"/>
      <c r="N557" s="3"/>
    </row>
    <row r="558" spans="2:14" ht="13.5" customHeight="1" x14ac:dyDescent="0.25">
      <c r="B558" s="1"/>
      <c r="E558" s="2"/>
      <c r="N558" s="3"/>
    </row>
    <row r="559" spans="2:14" ht="13.5" customHeight="1" x14ac:dyDescent="0.25">
      <c r="B559" s="1"/>
      <c r="E559" s="2"/>
      <c r="N559" s="3"/>
    </row>
    <row r="560" spans="2:14" ht="13.5" customHeight="1" x14ac:dyDescent="0.25">
      <c r="B560" s="1"/>
      <c r="E560" s="2"/>
      <c r="N560" s="3"/>
    </row>
    <row r="561" spans="2:14" ht="13.5" customHeight="1" x14ac:dyDescent="0.25">
      <c r="B561" s="1"/>
      <c r="E561" s="2"/>
      <c r="N561" s="3"/>
    </row>
    <row r="562" spans="2:14" ht="13.5" customHeight="1" x14ac:dyDescent="0.25">
      <c r="B562" s="1"/>
      <c r="E562" s="2"/>
      <c r="N562" s="3"/>
    </row>
    <row r="563" spans="2:14" ht="13.5" customHeight="1" x14ac:dyDescent="0.25">
      <c r="B563" s="1"/>
      <c r="E563" s="2"/>
      <c r="N563" s="3"/>
    </row>
    <row r="564" spans="2:14" ht="13.5" customHeight="1" x14ac:dyDescent="0.25">
      <c r="B564" s="1"/>
      <c r="E564" s="2"/>
      <c r="N564" s="3"/>
    </row>
    <row r="565" spans="2:14" ht="13.5" customHeight="1" x14ac:dyDescent="0.25">
      <c r="B565" s="1"/>
      <c r="E565" s="2"/>
      <c r="N565" s="3"/>
    </row>
    <row r="566" spans="2:14" ht="13.5" customHeight="1" x14ac:dyDescent="0.25">
      <c r="B566" s="1"/>
      <c r="E566" s="2"/>
      <c r="N566" s="3"/>
    </row>
    <row r="567" spans="2:14" ht="13.5" customHeight="1" x14ac:dyDescent="0.25">
      <c r="B567" s="1"/>
      <c r="E567" s="2"/>
      <c r="N567" s="3"/>
    </row>
    <row r="568" spans="2:14" ht="13.5" customHeight="1" x14ac:dyDescent="0.25">
      <c r="B568" s="1"/>
      <c r="E568" s="2"/>
      <c r="N568" s="3"/>
    </row>
    <row r="569" spans="2:14" ht="13.5" customHeight="1" x14ac:dyDescent="0.25">
      <c r="B569" s="1"/>
      <c r="E569" s="2"/>
      <c r="N569" s="3"/>
    </row>
    <row r="570" spans="2:14" ht="13.5" customHeight="1" x14ac:dyDescent="0.25">
      <c r="B570" s="1"/>
      <c r="E570" s="2"/>
      <c r="N570" s="3"/>
    </row>
    <row r="571" spans="2:14" ht="13.5" customHeight="1" x14ac:dyDescent="0.25">
      <c r="B571" s="1"/>
      <c r="E571" s="2"/>
      <c r="N571" s="3"/>
    </row>
    <row r="572" spans="2:14" ht="13.5" customHeight="1" x14ac:dyDescent="0.25">
      <c r="B572" s="1"/>
      <c r="E572" s="2"/>
      <c r="N572" s="3"/>
    </row>
    <row r="573" spans="2:14" ht="13.5" customHeight="1" x14ac:dyDescent="0.25">
      <c r="B573" s="1"/>
      <c r="E573" s="2"/>
      <c r="N573" s="3"/>
    </row>
    <row r="574" spans="2:14" ht="13.5" customHeight="1" x14ac:dyDescent="0.25">
      <c r="B574" s="1"/>
      <c r="E574" s="2"/>
      <c r="N574" s="3"/>
    </row>
    <row r="575" spans="2:14" ht="13.5" customHeight="1" x14ac:dyDescent="0.25">
      <c r="B575" s="1"/>
      <c r="E575" s="2"/>
      <c r="N575" s="3"/>
    </row>
    <row r="576" spans="2:14" ht="13.5" customHeight="1" x14ac:dyDescent="0.25">
      <c r="B576" s="1"/>
      <c r="E576" s="2"/>
      <c r="N576" s="3"/>
    </row>
    <row r="577" spans="2:14" ht="13.5" customHeight="1" x14ac:dyDescent="0.25">
      <c r="B577" s="1"/>
      <c r="E577" s="2"/>
      <c r="N577" s="3"/>
    </row>
    <row r="578" spans="2:14" ht="13.5" customHeight="1" x14ac:dyDescent="0.25">
      <c r="B578" s="1"/>
      <c r="E578" s="2"/>
      <c r="N578" s="3"/>
    </row>
    <row r="579" spans="2:14" ht="13.5" customHeight="1" x14ac:dyDescent="0.25">
      <c r="B579" s="1"/>
      <c r="E579" s="2"/>
      <c r="N579" s="3"/>
    </row>
    <row r="580" spans="2:14" ht="13.5" customHeight="1" x14ac:dyDescent="0.25">
      <c r="B580" s="1"/>
      <c r="E580" s="2"/>
      <c r="N580" s="3"/>
    </row>
    <row r="581" spans="2:14" ht="13.5" customHeight="1" x14ac:dyDescent="0.25">
      <c r="B581" s="1"/>
      <c r="E581" s="2"/>
      <c r="N581" s="3"/>
    </row>
    <row r="582" spans="2:14" ht="13.5" customHeight="1" x14ac:dyDescent="0.25">
      <c r="B582" s="1"/>
      <c r="E582" s="2"/>
      <c r="N582" s="3"/>
    </row>
    <row r="583" spans="2:14" ht="13.5" customHeight="1" x14ac:dyDescent="0.25">
      <c r="B583" s="1"/>
      <c r="E583" s="2"/>
      <c r="N583" s="3"/>
    </row>
    <row r="584" spans="2:14" ht="13.5" customHeight="1" x14ac:dyDescent="0.25">
      <c r="B584" s="1"/>
      <c r="E584" s="2"/>
      <c r="N584" s="3"/>
    </row>
    <row r="585" spans="2:14" ht="13.5" customHeight="1" x14ac:dyDescent="0.25">
      <c r="B585" s="1"/>
      <c r="E585" s="2"/>
      <c r="N585" s="3"/>
    </row>
    <row r="586" spans="2:14" ht="13.5" customHeight="1" x14ac:dyDescent="0.25">
      <c r="B586" s="1"/>
      <c r="E586" s="2"/>
      <c r="N586" s="3"/>
    </row>
    <row r="587" spans="2:14" ht="13.5" customHeight="1" x14ac:dyDescent="0.25">
      <c r="B587" s="1"/>
      <c r="E587" s="2"/>
      <c r="N587" s="3"/>
    </row>
    <row r="588" spans="2:14" ht="13.5" customHeight="1" x14ac:dyDescent="0.25">
      <c r="B588" s="1"/>
      <c r="E588" s="2"/>
      <c r="N588" s="3"/>
    </row>
    <row r="589" spans="2:14" ht="13.5" customHeight="1" x14ac:dyDescent="0.25">
      <c r="B589" s="1"/>
      <c r="E589" s="2"/>
      <c r="N589" s="3"/>
    </row>
    <row r="590" spans="2:14" ht="13.5" customHeight="1" x14ac:dyDescent="0.25">
      <c r="B590" s="1"/>
      <c r="E590" s="2"/>
      <c r="N590" s="3"/>
    </row>
    <row r="591" spans="2:14" ht="13.5" customHeight="1" x14ac:dyDescent="0.25">
      <c r="B591" s="1"/>
      <c r="E591" s="2"/>
      <c r="N591" s="3"/>
    </row>
    <row r="592" spans="2:14" ht="13.5" customHeight="1" x14ac:dyDescent="0.25">
      <c r="B592" s="1"/>
      <c r="E592" s="2"/>
      <c r="N592" s="3"/>
    </row>
    <row r="593" spans="2:14" ht="13.5" customHeight="1" x14ac:dyDescent="0.25">
      <c r="B593" s="1"/>
      <c r="E593" s="2"/>
      <c r="N593" s="3"/>
    </row>
    <row r="594" spans="2:14" ht="13.5" customHeight="1" x14ac:dyDescent="0.25">
      <c r="B594" s="1"/>
      <c r="E594" s="2"/>
      <c r="N594" s="3"/>
    </row>
    <row r="595" spans="2:14" ht="13.5" customHeight="1" x14ac:dyDescent="0.25">
      <c r="B595" s="1"/>
      <c r="E595" s="2"/>
      <c r="N595" s="3"/>
    </row>
    <row r="596" spans="2:14" ht="13.5" customHeight="1" x14ac:dyDescent="0.25">
      <c r="B596" s="1"/>
      <c r="E596" s="2"/>
      <c r="N596" s="3"/>
    </row>
    <row r="597" spans="2:14" ht="13.5" customHeight="1" x14ac:dyDescent="0.25">
      <c r="B597" s="1"/>
      <c r="E597" s="2"/>
      <c r="N597" s="3"/>
    </row>
    <row r="598" spans="2:14" ht="13.5" customHeight="1" x14ac:dyDescent="0.25">
      <c r="B598" s="1"/>
      <c r="E598" s="2"/>
      <c r="N598" s="3"/>
    </row>
    <row r="599" spans="2:14" ht="13.5" customHeight="1" x14ac:dyDescent="0.25">
      <c r="B599" s="1"/>
      <c r="E599" s="2"/>
      <c r="N599" s="3"/>
    </row>
    <row r="600" spans="2:14" ht="13.5" customHeight="1" x14ac:dyDescent="0.25">
      <c r="B600" s="1"/>
      <c r="E600" s="2"/>
      <c r="N600" s="3"/>
    </row>
    <row r="601" spans="2:14" ht="13.5" customHeight="1" x14ac:dyDescent="0.25">
      <c r="B601" s="1"/>
      <c r="E601" s="2"/>
      <c r="N601" s="3"/>
    </row>
    <row r="602" spans="2:14" ht="13.5" customHeight="1" x14ac:dyDescent="0.25">
      <c r="B602" s="1"/>
      <c r="E602" s="2"/>
      <c r="N602" s="3"/>
    </row>
    <row r="603" spans="2:14" ht="13.5" customHeight="1" x14ac:dyDescent="0.25">
      <c r="B603" s="1"/>
      <c r="E603" s="2"/>
      <c r="N603" s="3"/>
    </row>
    <row r="604" spans="2:14" ht="13.5" customHeight="1" x14ac:dyDescent="0.25">
      <c r="B604" s="1"/>
      <c r="E604" s="2"/>
      <c r="N604" s="3"/>
    </row>
    <row r="605" spans="2:14" ht="13.5" customHeight="1" x14ac:dyDescent="0.25">
      <c r="B605" s="1"/>
      <c r="E605" s="2"/>
      <c r="N605" s="3"/>
    </row>
    <row r="606" spans="2:14" ht="13.5" customHeight="1" x14ac:dyDescent="0.25">
      <c r="B606" s="1"/>
      <c r="E606" s="2"/>
      <c r="N606" s="3"/>
    </row>
    <row r="607" spans="2:14" ht="13.5" customHeight="1" x14ac:dyDescent="0.25">
      <c r="B607" s="1"/>
      <c r="E607" s="2"/>
      <c r="N607" s="3"/>
    </row>
    <row r="608" spans="2:14" ht="13.5" customHeight="1" x14ac:dyDescent="0.25">
      <c r="B608" s="1"/>
      <c r="E608" s="2"/>
      <c r="N608" s="3"/>
    </row>
    <row r="609" spans="2:14" ht="13.5" customHeight="1" x14ac:dyDescent="0.25">
      <c r="B609" s="1"/>
      <c r="E609" s="2"/>
      <c r="N609" s="3"/>
    </row>
    <row r="610" spans="2:14" ht="13.5" customHeight="1" x14ac:dyDescent="0.25">
      <c r="B610" s="1"/>
      <c r="E610" s="2"/>
      <c r="N610" s="3"/>
    </row>
    <row r="611" spans="2:14" ht="13.5" customHeight="1" x14ac:dyDescent="0.25">
      <c r="B611" s="1"/>
      <c r="E611" s="2"/>
      <c r="N611" s="3"/>
    </row>
    <row r="612" spans="2:14" ht="13.5" customHeight="1" x14ac:dyDescent="0.25">
      <c r="B612" s="1"/>
      <c r="E612" s="2"/>
      <c r="N612" s="3"/>
    </row>
    <row r="613" spans="2:14" ht="13.5" customHeight="1" x14ac:dyDescent="0.25">
      <c r="B613" s="1"/>
      <c r="E613" s="2"/>
      <c r="N613" s="3"/>
    </row>
    <row r="614" spans="2:14" ht="13.5" customHeight="1" x14ac:dyDescent="0.25">
      <c r="B614" s="1"/>
      <c r="E614" s="2"/>
      <c r="N614" s="3"/>
    </row>
    <row r="615" spans="2:14" ht="13.5" customHeight="1" x14ac:dyDescent="0.25">
      <c r="B615" s="1"/>
      <c r="E615" s="2"/>
      <c r="N615" s="3"/>
    </row>
    <row r="616" spans="2:14" ht="13.5" customHeight="1" x14ac:dyDescent="0.25">
      <c r="B616" s="1"/>
      <c r="E616" s="2"/>
      <c r="N616" s="3"/>
    </row>
    <row r="617" spans="2:14" ht="13.5" customHeight="1" x14ac:dyDescent="0.25">
      <c r="B617" s="1"/>
      <c r="E617" s="2"/>
      <c r="N617" s="3"/>
    </row>
    <row r="618" spans="2:14" ht="13.5" customHeight="1" x14ac:dyDescent="0.25">
      <c r="B618" s="1"/>
      <c r="E618" s="2"/>
      <c r="N618" s="3"/>
    </row>
    <row r="619" spans="2:14" ht="13.5" customHeight="1" x14ac:dyDescent="0.25">
      <c r="B619" s="1"/>
      <c r="E619" s="2"/>
      <c r="N619" s="3"/>
    </row>
    <row r="620" spans="2:14" ht="13.5" customHeight="1" x14ac:dyDescent="0.25">
      <c r="B620" s="1"/>
      <c r="E620" s="2"/>
      <c r="N620" s="3"/>
    </row>
    <row r="621" spans="2:14" ht="13.5" customHeight="1" x14ac:dyDescent="0.25">
      <c r="B621" s="1"/>
      <c r="E621" s="2"/>
      <c r="N621" s="3"/>
    </row>
    <row r="622" spans="2:14" ht="13.5" customHeight="1" x14ac:dyDescent="0.25">
      <c r="B622" s="1"/>
      <c r="E622" s="2"/>
      <c r="N622" s="3"/>
    </row>
    <row r="623" spans="2:14" ht="13.5" customHeight="1" x14ac:dyDescent="0.25">
      <c r="B623" s="1"/>
      <c r="E623" s="2"/>
      <c r="N623" s="3"/>
    </row>
    <row r="624" spans="2:14" ht="13.5" customHeight="1" x14ac:dyDescent="0.25">
      <c r="B624" s="1"/>
      <c r="E624" s="2"/>
      <c r="N624" s="3"/>
    </row>
    <row r="625" spans="2:14" ht="13.5" customHeight="1" x14ac:dyDescent="0.25">
      <c r="B625" s="1"/>
      <c r="E625" s="2"/>
      <c r="N625" s="3"/>
    </row>
    <row r="626" spans="2:14" ht="13.5" customHeight="1" x14ac:dyDescent="0.25">
      <c r="B626" s="1"/>
      <c r="E626" s="2"/>
      <c r="N626" s="3"/>
    </row>
    <row r="627" spans="2:14" ht="13.5" customHeight="1" x14ac:dyDescent="0.25">
      <c r="B627" s="1"/>
      <c r="E627" s="2"/>
      <c r="N627" s="3"/>
    </row>
    <row r="628" spans="2:14" ht="13.5" customHeight="1" x14ac:dyDescent="0.25">
      <c r="B628" s="1"/>
      <c r="E628" s="2"/>
      <c r="N628" s="3"/>
    </row>
    <row r="629" spans="2:14" ht="13.5" customHeight="1" x14ac:dyDescent="0.25">
      <c r="B629" s="1"/>
      <c r="E629" s="2"/>
      <c r="N629" s="3"/>
    </row>
    <row r="630" spans="2:14" ht="13.5" customHeight="1" x14ac:dyDescent="0.25">
      <c r="B630" s="1"/>
      <c r="E630" s="2"/>
      <c r="N630" s="3"/>
    </row>
    <row r="631" spans="2:14" ht="13.5" customHeight="1" x14ac:dyDescent="0.25">
      <c r="B631" s="1"/>
      <c r="E631" s="2"/>
      <c r="N631" s="3"/>
    </row>
    <row r="632" spans="2:14" ht="13.5" customHeight="1" x14ac:dyDescent="0.25">
      <c r="B632" s="1"/>
      <c r="E632" s="2"/>
      <c r="N632" s="3"/>
    </row>
    <row r="633" spans="2:14" ht="13.5" customHeight="1" x14ac:dyDescent="0.25">
      <c r="B633" s="1"/>
      <c r="E633" s="2"/>
      <c r="N633" s="3"/>
    </row>
    <row r="634" spans="2:14" ht="13.5" customHeight="1" x14ac:dyDescent="0.25">
      <c r="B634" s="1"/>
      <c r="E634" s="2"/>
      <c r="N634" s="3"/>
    </row>
    <row r="635" spans="2:14" ht="13.5" customHeight="1" x14ac:dyDescent="0.25">
      <c r="B635" s="1"/>
      <c r="E635" s="2"/>
      <c r="N635" s="3"/>
    </row>
    <row r="636" spans="2:14" ht="13.5" customHeight="1" x14ac:dyDescent="0.25">
      <c r="B636" s="1"/>
      <c r="E636" s="2"/>
      <c r="N636" s="3"/>
    </row>
    <row r="637" spans="2:14" ht="13.5" customHeight="1" x14ac:dyDescent="0.25">
      <c r="B637" s="1"/>
      <c r="E637" s="2"/>
      <c r="N637" s="3"/>
    </row>
    <row r="638" spans="2:14" ht="13.5" customHeight="1" x14ac:dyDescent="0.25">
      <c r="B638" s="1"/>
      <c r="E638" s="2"/>
      <c r="N638" s="3"/>
    </row>
    <row r="639" spans="2:14" ht="13.5" customHeight="1" x14ac:dyDescent="0.25">
      <c r="B639" s="1"/>
      <c r="E639" s="2"/>
      <c r="N639" s="3"/>
    </row>
    <row r="640" spans="2:14" ht="13.5" customHeight="1" x14ac:dyDescent="0.25">
      <c r="B640" s="1"/>
      <c r="E640" s="2"/>
      <c r="N640" s="3"/>
    </row>
    <row r="641" spans="2:14" ht="13.5" customHeight="1" x14ac:dyDescent="0.25">
      <c r="B641" s="1"/>
      <c r="E641" s="2"/>
      <c r="N641" s="3"/>
    </row>
    <row r="642" spans="2:14" ht="13.5" customHeight="1" x14ac:dyDescent="0.25">
      <c r="B642" s="1"/>
      <c r="E642" s="2"/>
      <c r="N642" s="3"/>
    </row>
    <row r="643" spans="2:14" ht="13.5" customHeight="1" x14ac:dyDescent="0.25">
      <c r="B643" s="1"/>
      <c r="E643" s="2"/>
      <c r="N643" s="3"/>
    </row>
    <row r="644" spans="2:14" ht="13.5" customHeight="1" x14ac:dyDescent="0.25">
      <c r="B644" s="1"/>
      <c r="E644" s="2"/>
      <c r="N644" s="3"/>
    </row>
    <row r="645" spans="2:14" ht="13.5" customHeight="1" x14ac:dyDescent="0.25">
      <c r="B645" s="1"/>
      <c r="E645" s="2"/>
      <c r="N645" s="3"/>
    </row>
    <row r="646" spans="2:14" ht="13.5" customHeight="1" x14ac:dyDescent="0.25">
      <c r="B646" s="1"/>
      <c r="E646" s="2"/>
      <c r="N646" s="3"/>
    </row>
    <row r="647" spans="2:14" ht="13.5" customHeight="1" x14ac:dyDescent="0.25">
      <c r="B647" s="1"/>
      <c r="E647" s="2"/>
      <c r="N647" s="3"/>
    </row>
    <row r="648" spans="2:14" ht="13.5" customHeight="1" x14ac:dyDescent="0.25">
      <c r="B648" s="1"/>
      <c r="E648" s="2"/>
      <c r="N648" s="3"/>
    </row>
    <row r="649" spans="2:14" ht="13.5" customHeight="1" x14ac:dyDescent="0.25">
      <c r="B649" s="1"/>
      <c r="E649" s="2"/>
      <c r="N649" s="3"/>
    </row>
    <row r="650" spans="2:14" ht="13.5" customHeight="1" x14ac:dyDescent="0.25">
      <c r="B650" s="1"/>
      <c r="E650" s="2"/>
      <c r="N650" s="3"/>
    </row>
    <row r="651" spans="2:14" ht="13.5" customHeight="1" x14ac:dyDescent="0.25">
      <c r="B651" s="1"/>
      <c r="E651" s="2"/>
      <c r="N651" s="3"/>
    </row>
    <row r="652" spans="2:14" ht="13.5" customHeight="1" x14ac:dyDescent="0.25">
      <c r="B652" s="1"/>
      <c r="E652" s="2"/>
      <c r="N652" s="3"/>
    </row>
    <row r="653" spans="2:14" ht="13.5" customHeight="1" x14ac:dyDescent="0.25">
      <c r="B653" s="1"/>
      <c r="E653" s="2"/>
      <c r="N653" s="3"/>
    </row>
    <row r="654" spans="2:14" ht="13.5" customHeight="1" x14ac:dyDescent="0.25">
      <c r="B654" s="1"/>
      <c r="E654" s="2"/>
      <c r="N654" s="3"/>
    </row>
    <row r="655" spans="2:14" ht="13.5" customHeight="1" x14ac:dyDescent="0.25">
      <c r="B655" s="1"/>
      <c r="E655" s="2"/>
      <c r="N655" s="3"/>
    </row>
    <row r="656" spans="2:14" ht="13.5" customHeight="1" x14ac:dyDescent="0.25">
      <c r="B656" s="1"/>
      <c r="E656" s="2"/>
      <c r="N656" s="3"/>
    </row>
    <row r="657" spans="2:14" ht="13.5" customHeight="1" x14ac:dyDescent="0.25">
      <c r="B657" s="1"/>
      <c r="E657" s="2"/>
      <c r="N657" s="3"/>
    </row>
    <row r="658" spans="2:14" ht="13.5" customHeight="1" x14ac:dyDescent="0.25">
      <c r="B658" s="1"/>
      <c r="E658" s="2"/>
      <c r="N658" s="3"/>
    </row>
    <row r="659" spans="2:14" ht="13.5" customHeight="1" x14ac:dyDescent="0.25">
      <c r="B659" s="1"/>
      <c r="E659" s="2"/>
      <c r="N659" s="3"/>
    </row>
    <row r="660" spans="2:14" ht="13.5" customHeight="1" x14ac:dyDescent="0.25">
      <c r="B660" s="1"/>
      <c r="E660" s="2"/>
      <c r="N660" s="3"/>
    </row>
    <row r="661" spans="2:14" ht="13.5" customHeight="1" x14ac:dyDescent="0.25">
      <c r="B661" s="1"/>
      <c r="E661" s="2"/>
      <c r="N661" s="3"/>
    </row>
    <row r="662" spans="2:14" ht="13.5" customHeight="1" x14ac:dyDescent="0.25">
      <c r="B662" s="1"/>
      <c r="E662" s="2"/>
      <c r="N662" s="3"/>
    </row>
    <row r="663" spans="2:14" ht="13.5" customHeight="1" x14ac:dyDescent="0.25">
      <c r="B663" s="1"/>
      <c r="E663" s="2"/>
      <c r="N663" s="3"/>
    </row>
    <row r="664" spans="2:14" ht="13.5" customHeight="1" x14ac:dyDescent="0.25">
      <c r="B664" s="1"/>
      <c r="E664" s="2"/>
      <c r="N664" s="3"/>
    </row>
    <row r="665" spans="2:14" ht="13.5" customHeight="1" x14ac:dyDescent="0.25">
      <c r="B665" s="1"/>
      <c r="E665" s="2"/>
      <c r="N665" s="3"/>
    </row>
    <row r="666" spans="2:14" ht="13.5" customHeight="1" x14ac:dyDescent="0.25">
      <c r="B666" s="1"/>
      <c r="E666" s="2"/>
      <c r="N666" s="3"/>
    </row>
    <row r="667" spans="2:14" ht="13.5" customHeight="1" x14ac:dyDescent="0.25">
      <c r="B667" s="1"/>
      <c r="E667" s="2"/>
      <c r="N667" s="3"/>
    </row>
    <row r="668" spans="2:14" ht="13.5" customHeight="1" x14ac:dyDescent="0.25">
      <c r="B668" s="1"/>
      <c r="E668" s="2"/>
      <c r="N668" s="3"/>
    </row>
    <row r="669" spans="2:14" ht="13.5" customHeight="1" x14ac:dyDescent="0.25">
      <c r="B669" s="1"/>
      <c r="E669" s="2"/>
      <c r="N669" s="3"/>
    </row>
    <row r="670" spans="2:14" ht="13.5" customHeight="1" x14ac:dyDescent="0.25">
      <c r="B670" s="1"/>
      <c r="E670" s="2"/>
      <c r="N670" s="3"/>
    </row>
    <row r="671" spans="2:14" ht="13.5" customHeight="1" x14ac:dyDescent="0.25">
      <c r="B671" s="1"/>
      <c r="E671" s="2"/>
      <c r="N671" s="3"/>
    </row>
    <row r="672" spans="2:14" ht="13.5" customHeight="1" x14ac:dyDescent="0.25">
      <c r="B672" s="1"/>
      <c r="E672" s="2"/>
      <c r="N672" s="3"/>
    </row>
    <row r="673" spans="2:14" ht="13.5" customHeight="1" x14ac:dyDescent="0.25">
      <c r="B673" s="1"/>
      <c r="E673" s="2"/>
      <c r="N673" s="3"/>
    </row>
    <row r="674" spans="2:14" ht="13.5" customHeight="1" x14ac:dyDescent="0.25">
      <c r="B674" s="1"/>
      <c r="E674" s="2"/>
      <c r="N674" s="3"/>
    </row>
    <row r="675" spans="2:14" ht="13.5" customHeight="1" x14ac:dyDescent="0.25">
      <c r="B675" s="1"/>
      <c r="E675" s="2"/>
      <c r="N675" s="3"/>
    </row>
    <row r="676" spans="2:14" ht="13.5" customHeight="1" x14ac:dyDescent="0.25">
      <c r="B676" s="1"/>
      <c r="E676" s="2"/>
      <c r="N676" s="3"/>
    </row>
    <row r="677" spans="2:14" ht="13.5" customHeight="1" x14ac:dyDescent="0.25">
      <c r="B677" s="1"/>
      <c r="E677" s="2"/>
      <c r="N677" s="3"/>
    </row>
    <row r="678" spans="2:14" ht="13.5" customHeight="1" x14ac:dyDescent="0.25">
      <c r="B678" s="1"/>
      <c r="E678" s="2"/>
      <c r="N678" s="3"/>
    </row>
    <row r="679" spans="2:14" ht="13.5" customHeight="1" x14ac:dyDescent="0.25">
      <c r="B679" s="1"/>
      <c r="E679" s="2"/>
      <c r="N679" s="3"/>
    </row>
    <row r="680" spans="2:14" ht="13.5" customHeight="1" x14ac:dyDescent="0.25">
      <c r="B680" s="1"/>
      <c r="E680" s="2"/>
      <c r="N680" s="3"/>
    </row>
    <row r="681" spans="2:14" ht="13.5" customHeight="1" x14ac:dyDescent="0.25">
      <c r="B681" s="1"/>
      <c r="E681" s="2"/>
      <c r="N681" s="3"/>
    </row>
    <row r="682" spans="2:14" ht="13.5" customHeight="1" x14ac:dyDescent="0.25">
      <c r="B682" s="1"/>
      <c r="E682" s="2"/>
      <c r="N682" s="3"/>
    </row>
    <row r="683" spans="2:14" ht="13.5" customHeight="1" x14ac:dyDescent="0.25">
      <c r="B683" s="1"/>
      <c r="E683" s="2"/>
      <c r="N683" s="3"/>
    </row>
    <row r="684" spans="2:14" ht="13.5" customHeight="1" x14ac:dyDescent="0.25">
      <c r="B684" s="1"/>
      <c r="E684" s="2"/>
      <c r="N684" s="3"/>
    </row>
    <row r="685" spans="2:14" ht="13.5" customHeight="1" x14ac:dyDescent="0.25">
      <c r="B685" s="1"/>
      <c r="E685" s="2"/>
      <c r="N685" s="3"/>
    </row>
    <row r="686" spans="2:14" ht="13.5" customHeight="1" x14ac:dyDescent="0.25">
      <c r="B686" s="1"/>
      <c r="E686" s="2"/>
      <c r="N686" s="3"/>
    </row>
    <row r="687" spans="2:14" ht="13.5" customHeight="1" x14ac:dyDescent="0.25">
      <c r="B687" s="1"/>
      <c r="E687" s="2"/>
      <c r="N687" s="3"/>
    </row>
    <row r="688" spans="2:14" ht="13.5" customHeight="1" x14ac:dyDescent="0.25">
      <c r="B688" s="1"/>
      <c r="E688" s="2"/>
      <c r="N688" s="3"/>
    </row>
    <row r="689" spans="2:14" ht="13.5" customHeight="1" x14ac:dyDescent="0.25">
      <c r="B689" s="1"/>
      <c r="E689" s="2"/>
      <c r="N689" s="3"/>
    </row>
    <row r="690" spans="2:14" ht="13.5" customHeight="1" x14ac:dyDescent="0.25">
      <c r="B690" s="1"/>
      <c r="E690" s="2"/>
      <c r="N690" s="3"/>
    </row>
    <row r="691" spans="2:14" ht="13.5" customHeight="1" x14ac:dyDescent="0.25">
      <c r="B691" s="1"/>
      <c r="E691" s="2"/>
      <c r="N691" s="3"/>
    </row>
    <row r="692" spans="2:14" ht="13.5" customHeight="1" x14ac:dyDescent="0.25">
      <c r="B692" s="1"/>
      <c r="E692" s="2"/>
      <c r="N692" s="3"/>
    </row>
    <row r="693" spans="2:14" ht="13.5" customHeight="1" x14ac:dyDescent="0.25">
      <c r="B693" s="1"/>
      <c r="E693" s="2"/>
      <c r="N693" s="3"/>
    </row>
    <row r="694" spans="2:14" ht="13.5" customHeight="1" x14ac:dyDescent="0.25">
      <c r="B694" s="1"/>
      <c r="E694" s="2"/>
      <c r="N694" s="3"/>
    </row>
    <row r="695" spans="2:14" ht="13.5" customHeight="1" x14ac:dyDescent="0.25">
      <c r="B695" s="1"/>
      <c r="E695" s="2"/>
      <c r="N695" s="3"/>
    </row>
    <row r="696" spans="2:14" ht="13.5" customHeight="1" x14ac:dyDescent="0.25">
      <c r="B696" s="1"/>
      <c r="E696" s="2"/>
      <c r="N696" s="3"/>
    </row>
    <row r="697" spans="2:14" ht="13.5" customHeight="1" x14ac:dyDescent="0.25">
      <c r="B697" s="1"/>
      <c r="E697" s="2"/>
      <c r="N697" s="3"/>
    </row>
    <row r="698" spans="2:14" ht="13.5" customHeight="1" x14ac:dyDescent="0.25">
      <c r="B698" s="1"/>
      <c r="E698" s="2"/>
      <c r="N698" s="3"/>
    </row>
    <row r="699" spans="2:14" ht="13.5" customHeight="1" x14ac:dyDescent="0.25">
      <c r="B699" s="1"/>
      <c r="E699" s="2"/>
      <c r="N699" s="3"/>
    </row>
    <row r="700" spans="2:14" ht="13.5" customHeight="1" x14ac:dyDescent="0.25">
      <c r="B700" s="1"/>
      <c r="E700" s="2"/>
      <c r="N700" s="3"/>
    </row>
    <row r="701" spans="2:14" ht="13.5" customHeight="1" x14ac:dyDescent="0.25">
      <c r="B701" s="1"/>
      <c r="E701" s="2"/>
      <c r="N701" s="3"/>
    </row>
    <row r="702" spans="2:14" ht="13.5" customHeight="1" x14ac:dyDescent="0.25">
      <c r="B702" s="1"/>
      <c r="E702" s="2"/>
      <c r="N702" s="3"/>
    </row>
    <row r="703" spans="2:14" ht="13.5" customHeight="1" x14ac:dyDescent="0.25">
      <c r="B703" s="1"/>
      <c r="E703" s="2"/>
      <c r="N703" s="3"/>
    </row>
    <row r="704" spans="2:14" ht="13.5" customHeight="1" x14ac:dyDescent="0.25">
      <c r="B704" s="1"/>
      <c r="E704" s="2"/>
      <c r="N704" s="3"/>
    </row>
    <row r="705" spans="2:14" ht="13.5" customHeight="1" x14ac:dyDescent="0.25">
      <c r="B705" s="1"/>
      <c r="E705" s="2"/>
      <c r="N705" s="3"/>
    </row>
    <row r="706" spans="2:14" ht="13.5" customHeight="1" x14ac:dyDescent="0.25">
      <c r="B706" s="1"/>
      <c r="E706" s="2"/>
      <c r="N706" s="3"/>
    </row>
    <row r="707" spans="2:14" ht="13.5" customHeight="1" x14ac:dyDescent="0.25">
      <c r="B707" s="1"/>
      <c r="E707" s="2"/>
      <c r="N707" s="3"/>
    </row>
    <row r="708" spans="2:14" ht="13.5" customHeight="1" x14ac:dyDescent="0.25">
      <c r="B708" s="1"/>
      <c r="E708" s="2"/>
      <c r="N708" s="3"/>
    </row>
    <row r="709" spans="2:14" ht="13.5" customHeight="1" x14ac:dyDescent="0.25">
      <c r="B709" s="1"/>
      <c r="E709" s="2"/>
      <c r="N709" s="3"/>
    </row>
    <row r="710" spans="2:14" ht="13.5" customHeight="1" x14ac:dyDescent="0.25">
      <c r="B710" s="1"/>
      <c r="E710" s="2"/>
      <c r="N710" s="3"/>
    </row>
    <row r="711" spans="2:14" ht="13.5" customHeight="1" x14ac:dyDescent="0.25">
      <c r="B711" s="1"/>
      <c r="E711" s="2"/>
      <c r="N711" s="3"/>
    </row>
    <row r="712" spans="2:14" ht="13.5" customHeight="1" x14ac:dyDescent="0.25">
      <c r="B712" s="1"/>
      <c r="E712" s="2"/>
      <c r="N712" s="3"/>
    </row>
    <row r="713" spans="2:14" ht="13.5" customHeight="1" x14ac:dyDescent="0.25">
      <c r="B713" s="1"/>
      <c r="E713" s="2"/>
      <c r="N713" s="3"/>
    </row>
    <row r="714" spans="2:14" ht="13.5" customHeight="1" x14ac:dyDescent="0.25">
      <c r="B714" s="1"/>
      <c r="E714" s="2"/>
      <c r="N714" s="3"/>
    </row>
    <row r="715" spans="2:14" ht="13.5" customHeight="1" x14ac:dyDescent="0.25">
      <c r="B715" s="1"/>
      <c r="E715" s="2"/>
      <c r="N715" s="3"/>
    </row>
    <row r="716" spans="2:14" ht="13.5" customHeight="1" x14ac:dyDescent="0.25">
      <c r="B716" s="1"/>
      <c r="E716" s="2"/>
      <c r="N716" s="3"/>
    </row>
    <row r="717" spans="2:14" ht="13.5" customHeight="1" x14ac:dyDescent="0.25">
      <c r="B717" s="1"/>
      <c r="E717" s="2"/>
      <c r="N717" s="3"/>
    </row>
    <row r="718" spans="2:14" ht="13.5" customHeight="1" x14ac:dyDescent="0.25">
      <c r="B718" s="1"/>
      <c r="E718" s="2"/>
      <c r="N718" s="3"/>
    </row>
    <row r="719" spans="2:14" ht="13.5" customHeight="1" x14ac:dyDescent="0.25">
      <c r="B719" s="1"/>
      <c r="E719" s="2"/>
      <c r="N719" s="3"/>
    </row>
    <row r="720" spans="2:14" ht="13.5" customHeight="1" x14ac:dyDescent="0.25">
      <c r="B720" s="1"/>
      <c r="E720" s="2"/>
      <c r="N720" s="3"/>
    </row>
    <row r="721" spans="2:14" ht="13.5" customHeight="1" x14ac:dyDescent="0.25">
      <c r="B721" s="1"/>
      <c r="E721" s="2"/>
      <c r="N721" s="3"/>
    </row>
    <row r="722" spans="2:14" ht="13.5" customHeight="1" x14ac:dyDescent="0.25">
      <c r="B722" s="1"/>
      <c r="E722" s="2"/>
      <c r="N722" s="3"/>
    </row>
    <row r="723" spans="2:14" ht="13.5" customHeight="1" x14ac:dyDescent="0.25">
      <c r="B723" s="1"/>
      <c r="E723" s="2"/>
      <c r="N723" s="3"/>
    </row>
    <row r="724" spans="2:14" ht="13.5" customHeight="1" x14ac:dyDescent="0.25">
      <c r="B724" s="1"/>
      <c r="E724" s="2"/>
      <c r="N724" s="3"/>
    </row>
    <row r="725" spans="2:14" ht="13.5" customHeight="1" x14ac:dyDescent="0.25">
      <c r="B725" s="1"/>
      <c r="E725" s="2"/>
      <c r="N725" s="3"/>
    </row>
    <row r="726" spans="2:14" ht="13.5" customHeight="1" x14ac:dyDescent="0.25">
      <c r="B726" s="1"/>
      <c r="E726" s="2"/>
      <c r="N726" s="3"/>
    </row>
    <row r="727" spans="2:14" ht="13.5" customHeight="1" x14ac:dyDescent="0.25">
      <c r="B727" s="1"/>
      <c r="E727" s="2"/>
      <c r="N727" s="3"/>
    </row>
    <row r="728" spans="2:14" ht="13.5" customHeight="1" x14ac:dyDescent="0.25">
      <c r="B728" s="1"/>
      <c r="E728" s="2"/>
      <c r="N728" s="3"/>
    </row>
    <row r="729" spans="2:14" ht="13.5" customHeight="1" x14ac:dyDescent="0.25">
      <c r="B729" s="1"/>
      <c r="E729" s="2"/>
      <c r="N729" s="3"/>
    </row>
    <row r="730" spans="2:14" ht="13.5" customHeight="1" x14ac:dyDescent="0.25">
      <c r="B730" s="1"/>
      <c r="E730" s="2"/>
      <c r="N730" s="3"/>
    </row>
    <row r="731" spans="2:14" ht="13.5" customHeight="1" x14ac:dyDescent="0.25">
      <c r="B731" s="1"/>
      <c r="E731" s="2"/>
      <c r="N731" s="3"/>
    </row>
    <row r="732" spans="2:14" ht="13.5" customHeight="1" x14ac:dyDescent="0.25">
      <c r="B732" s="1"/>
      <c r="E732" s="2"/>
      <c r="N732" s="3"/>
    </row>
    <row r="733" spans="2:14" ht="13.5" customHeight="1" x14ac:dyDescent="0.25">
      <c r="B733" s="1"/>
      <c r="E733" s="2"/>
      <c r="N733" s="3"/>
    </row>
    <row r="734" spans="2:14" ht="13.5" customHeight="1" x14ac:dyDescent="0.25">
      <c r="B734" s="1"/>
      <c r="E734" s="2"/>
      <c r="N734" s="3"/>
    </row>
    <row r="735" spans="2:14" ht="13.5" customHeight="1" x14ac:dyDescent="0.25">
      <c r="B735" s="1"/>
      <c r="E735" s="2"/>
      <c r="N735" s="3"/>
    </row>
    <row r="736" spans="2:14" ht="13.5" customHeight="1" x14ac:dyDescent="0.25">
      <c r="B736" s="1"/>
      <c r="E736" s="2"/>
      <c r="N736" s="3"/>
    </row>
    <row r="737" spans="2:14" ht="13.5" customHeight="1" x14ac:dyDescent="0.25">
      <c r="B737" s="1"/>
      <c r="E737" s="2"/>
      <c r="N737" s="3"/>
    </row>
    <row r="738" spans="2:14" ht="13.5" customHeight="1" x14ac:dyDescent="0.25">
      <c r="B738" s="1"/>
      <c r="E738" s="2"/>
      <c r="N738" s="3"/>
    </row>
    <row r="739" spans="2:14" ht="13.5" customHeight="1" x14ac:dyDescent="0.25">
      <c r="B739" s="1"/>
      <c r="E739" s="2"/>
      <c r="N739" s="3"/>
    </row>
    <row r="740" spans="2:14" ht="13.5" customHeight="1" x14ac:dyDescent="0.25">
      <c r="B740" s="1"/>
      <c r="E740" s="2"/>
      <c r="N740" s="3"/>
    </row>
    <row r="741" spans="2:14" ht="13.5" customHeight="1" x14ac:dyDescent="0.25">
      <c r="B741" s="1"/>
      <c r="E741" s="2"/>
      <c r="N741" s="3"/>
    </row>
    <row r="742" spans="2:14" ht="13.5" customHeight="1" x14ac:dyDescent="0.25">
      <c r="B742" s="1"/>
      <c r="E742" s="2"/>
      <c r="N742" s="3"/>
    </row>
    <row r="743" spans="2:14" ht="13.5" customHeight="1" x14ac:dyDescent="0.25">
      <c r="B743" s="1"/>
      <c r="E743" s="2"/>
      <c r="N743" s="3"/>
    </row>
    <row r="744" spans="2:14" ht="13.5" customHeight="1" x14ac:dyDescent="0.25">
      <c r="B744" s="1"/>
      <c r="E744" s="2"/>
      <c r="N744" s="3"/>
    </row>
    <row r="745" spans="2:14" ht="13.5" customHeight="1" x14ac:dyDescent="0.25">
      <c r="B745" s="1"/>
      <c r="E745" s="2"/>
      <c r="N745" s="3"/>
    </row>
    <row r="746" spans="2:14" ht="13.5" customHeight="1" x14ac:dyDescent="0.25">
      <c r="B746" s="1"/>
      <c r="E746" s="2"/>
      <c r="N746" s="3"/>
    </row>
    <row r="747" spans="2:14" ht="13.5" customHeight="1" x14ac:dyDescent="0.25">
      <c r="B747" s="1"/>
      <c r="E747" s="2"/>
      <c r="N747" s="3"/>
    </row>
    <row r="748" spans="2:14" ht="13.5" customHeight="1" x14ac:dyDescent="0.25">
      <c r="B748" s="1"/>
      <c r="E748" s="2"/>
      <c r="N748" s="3"/>
    </row>
    <row r="749" spans="2:14" ht="13.5" customHeight="1" x14ac:dyDescent="0.25">
      <c r="B749" s="1"/>
      <c r="E749" s="2"/>
      <c r="N749" s="3"/>
    </row>
    <row r="750" spans="2:14" ht="13.5" customHeight="1" x14ac:dyDescent="0.25">
      <c r="B750" s="1"/>
      <c r="E750" s="2"/>
      <c r="N750" s="3"/>
    </row>
    <row r="751" spans="2:14" ht="13.5" customHeight="1" x14ac:dyDescent="0.25">
      <c r="B751" s="1"/>
      <c r="E751" s="2"/>
      <c r="N751" s="3"/>
    </row>
    <row r="752" spans="2:14" ht="13.5" customHeight="1" x14ac:dyDescent="0.25">
      <c r="B752" s="1"/>
      <c r="E752" s="2"/>
      <c r="N752" s="3"/>
    </row>
    <row r="753" spans="2:14" ht="13.5" customHeight="1" x14ac:dyDescent="0.25">
      <c r="B753" s="1"/>
      <c r="E753" s="2"/>
      <c r="N753" s="3"/>
    </row>
    <row r="754" spans="2:14" ht="13.5" customHeight="1" x14ac:dyDescent="0.25">
      <c r="B754" s="1"/>
      <c r="E754" s="2"/>
      <c r="N754" s="3"/>
    </row>
    <row r="755" spans="2:14" ht="13.5" customHeight="1" x14ac:dyDescent="0.25">
      <c r="B755" s="1"/>
      <c r="E755" s="2"/>
      <c r="N755" s="3"/>
    </row>
    <row r="756" spans="2:14" ht="13.5" customHeight="1" x14ac:dyDescent="0.25">
      <c r="B756" s="1"/>
      <c r="E756" s="2"/>
      <c r="N756" s="3"/>
    </row>
    <row r="757" spans="2:14" ht="13.5" customHeight="1" x14ac:dyDescent="0.25">
      <c r="B757" s="1"/>
      <c r="E757" s="2"/>
      <c r="N757" s="3"/>
    </row>
    <row r="758" spans="2:14" ht="13.5" customHeight="1" x14ac:dyDescent="0.25">
      <c r="B758" s="1"/>
      <c r="E758" s="2"/>
      <c r="N758" s="3"/>
    </row>
    <row r="759" spans="2:14" ht="13.5" customHeight="1" x14ac:dyDescent="0.25">
      <c r="B759" s="1"/>
      <c r="E759" s="2"/>
      <c r="N759" s="3"/>
    </row>
    <row r="760" spans="2:14" ht="13.5" customHeight="1" x14ac:dyDescent="0.25">
      <c r="B760" s="1"/>
      <c r="E760" s="2"/>
      <c r="N760" s="3"/>
    </row>
    <row r="761" spans="2:14" ht="13.5" customHeight="1" x14ac:dyDescent="0.25">
      <c r="B761" s="1"/>
      <c r="E761" s="2"/>
      <c r="N761" s="3"/>
    </row>
    <row r="762" spans="2:14" ht="13.5" customHeight="1" x14ac:dyDescent="0.25">
      <c r="B762" s="1"/>
      <c r="E762" s="2"/>
      <c r="N762" s="3"/>
    </row>
    <row r="763" spans="2:14" ht="13.5" customHeight="1" x14ac:dyDescent="0.25">
      <c r="B763" s="1"/>
      <c r="E763" s="2"/>
      <c r="N763" s="3"/>
    </row>
    <row r="764" spans="2:14" ht="13.5" customHeight="1" x14ac:dyDescent="0.25">
      <c r="B764" s="1"/>
      <c r="E764" s="2"/>
      <c r="N764" s="3"/>
    </row>
    <row r="765" spans="2:14" ht="13.5" customHeight="1" x14ac:dyDescent="0.25">
      <c r="B765" s="1"/>
      <c r="E765" s="2"/>
      <c r="N765" s="3"/>
    </row>
    <row r="766" spans="2:14" ht="13.5" customHeight="1" x14ac:dyDescent="0.25">
      <c r="B766" s="1"/>
      <c r="E766" s="2"/>
      <c r="N766" s="3"/>
    </row>
    <row r="767" spans="2:14" ht="13.5" customHeight="1" x14ac:dyDescent="0.25">
      <c r="B767" s="1"/>
      <c r="E767" s="2"/>
      <c r="N767" s="3"/>
    </row>
    <row r="768" spans="2:14" ht="13.5" customHeight="1" x14ac:dyDescent="0.25">
      <c r="B768" s="1"/>
      <c r="E768" s="2"/>
      <c r="N768" s="3"/>
    </row>
    <row r="769" spans="2:14" ht="13.5" customHeight="1" x14ac:dyDescent="0.25">
      <c r="B769" s="1"/>
      <c r="E769" s="2"/>
      <c r="N769" s="3"/>
    </row>
    <row r="770" spans="2:14" ht="13.5" customHeight="1" x14ac:dyDescent="0.25">
      <c r="B770" s="1"/>
      <c r="E770" s="2"/>
      <c r="N770" s="3"/>
    </row>
    <row r="771" spans="2:14" ht="13.5" customHeight="1" x14ac:dyDescent="0.25">
      <c r="B771" s="1"/>
      <c r="E771" s="2"/>
      <c r="N771" s="3"/>
    </row>
    <row r="772" spans="2:14" ht="13.5" customHeight="1" x14ac:dyDescent="0.25">
      <c r="B772" s="1"/>
      <c r="E772" s="2"/>
      <c r="N772" s="3"/>
    </row>
    <row r="773" spans="2:14" ht="13.5" customHeight="1" x14ac:dyDescent="0.25">
      <c r="B773" s="1"/>
      <c r="E773" s="2"/>
      <c r="N773" s="3"/>
    </row>
    <row r="774" spans="2:14" ht="13.5" customHeight="1" x14ac:dyDescent="0.25">
      <c r="B774" s="1"/>
      <c r="E774" s="2"/>
      <c r="N774" s="3"/>
    </row>
    <row r="775" spans="2:14" ht="13.5" customHeight="1" x14ac:dyDescent="0.25">
      <c r="B775" s="1"/>
      <c r="E775" s="2"/>
      <c r="N775" s="3"/>
    </row>
    <row r="776" spans="2:14" ht="13.5" customHeight="1" x14ac:dyDescent="0.25">
      <c r="B776" s="1"/>
      <c r="E776" s="2"/>
      <c r="N776" s="3"/>
    </row>
    <row r="777" spans="2:14" ht="13.5" customHeight="1" x14ac:dyDescent="0.25">
      <c r="B777" s="1"/>
      <c r="E777" s="2"/>
      <c r="N777" s="3"/>
    </row>
    <row r="778" spans="2:14" ht="13.5" customHeight="1" x14ac:dyDescent="0.25">
      <c r="B778" s="1"/>
      <c r="E778" s="2"/>
      <c r="N778" s="3"/>
    </row>
    <row r="779" spans="2:14" ht="13.5" customHeight="1" x14ac:dyDescent="0.25">
      <c r="B779" s="1"/>
      <c r="E779" s="2"/>
      <c r="N779" s="3"/>
    </row>
    <row r="780" spans="2:14" ht="13.5" customHeight="1" x14ac:dyDescent="0.25">
      <c r="B780" s="1"/>
      <c r="E780" s="2"/>
      <c r="N780" s="3"/>
    </row>
    <row r="781" spans="2:14" ht="13.5" customHeight="1" x14ac:dyDescent="0.25">
      <c r="B781" s="1"/>
      <c r="E781" s="2"/>
      <c r="N781" s="3"/>
    </row>
    <row r="782" spans="2:14" ht="13.5" customHeight="1" x14ac:dyDescent="0.25">
      <c r="B782" s="1"/>
      <c r="E782" s="2"/>
      <c r="N782" s="3"/>
    </row>
    <row r="783" spans="2:14" ht="13.5" customHeight="1" x14ac:dyDescent="0.25">
      <c r="B783" s="1"/>
      <c r="E783" s="2"/>
      <c r="N783" s="3"/>
    </row>
    <row r="784" spans="2:14" ht="13.5" customHeight="1" x14ac:dyDescent="0.25">
      <c r="B784" s="1"/>
      <c r="E784" s="2"/>
      <c r="N784" s="3"/>
    </row>
    <row r="785" spans="2:14" ht="13.5" customHeight="1" x14ac:dyDescent="0.25">
      <c r="B785" s="1"/>
      <c r="E785" s="2"/>
      <c r="N785" s="3"/>
    </row>
    <row r="786" spans="2:14" ht="13.5" customHeight="1" x14ac:dyDescent="0.25">
      <c r="B786" s="1"/>
      <c r="E786" s="2"/>
      <c r="N786" s="3"/>
    </row>
    <row r="787" spans="2:14" ht="13.5" customHeight="1" x14ac:dyDescent="0.25">
      <c r="B787" s="1"/>
      <c r="E787" s="2"/>
      <c r="N787" s="3"/>
    </row>
    <row r="788" spans="2:14" ht="13.5" customHeight="1" x14ac:dyDescent="0.25">
      <c r="B788" s="1"/>
      <c r="E788" s="2"/>
      <c r="N788" s="3"/>
    </row>
    <row r="789" spans="2:14" ht="13.5" customHeight="1" x14ac:dyDescent="0.25">
      <c r="B789" s="1"/>
      <c r="E789" s="2"/>
      <c r="N789" s="3"/>
    </row>
    <row r="790" spans="2:14" ht="13.5" customHeight="1" x14ac:dyDescent="0.25">
      <c r="B790" s="1"/>
      <c r="E790" s="2"/>
      <c r="N790" s="3"/>
    </row>
    <row r="791" spans="2:14" ht="13.5" customHeight="1" x14ac:dyDescent="0.25">
      <c r="B791" s="1"/>
      <c r="E791" s="2"/>
      <c r="N791" s="3"/>
    </row>
    <row r="792" spans="2:14" ht="13.5" customHeight="1" x14ac:dyDescent="0.25">
      <c r="B792" s="1"/>
      <c r="E792" s="2"/>
      <c r="N792" s="3"/>
    </row>
    <row r="793" spans="2:14" ht="13.5" customHeight="1" x14ac:dyDescent="0.25">
      <c r="B793" s="1"/>
      <c r="E793" s="2"/>
      <c r="N793" s="3"/>
    </row>
    <row r="794" spans="2:14" ht="13.5" customHeight="1" x14ac:dyDescent="0.25">
      <c r="B794" s="1"/>
      <c r="E794" s="2"/>
      <c r="N794" s="3"/>
    </row>
    <row r="795" spans="2:14" ht="13.5" customHeight="1" x14ac:dyDescent="0.25">
      <c r="B795" s="1"/>
      <c r="E795" s="2"/>
      <c r="N795" s="3"/>
    </row>
    <row r="796" spans="2:14" ht="13.5" customHeight="1" x14ac:dyDescent="0.25">
      <c r="B796" s="1"/>
      <c r="E796" s="2"/>
      <c r="N796" s="3"/>
    </row>
    <row r="797" spans="2:14" ht="13.5" customHeight="1" x14ac:dyDescent="0.25">
      <c r="B797" s="1"/>
      <c r="E797" s="2"/>
      <c r="N797" s="3"/>
    </row>
    <row r="798" spans="2:14" ht="13.5" customHeight="1" x14ac:dyDescent="0.25">
      <c r="B798" s="1"/>
      <c r="E798" s="2"/>
      <c r="N798" s="3"/>
    </row>
    <row r="799" spans="2:14" ht="13.5" customHeight="1" x14ac:dyDescent="0.25">
      <c r="B799" s="1"/>
      <c r="E799" s="2"/>
      <c r="N799" s="3"/>
    </row>
    <row r="800" spans="2:14" ht="13.5" customHeight="1" x14ac:dyDescent="0.25">
      <c r="B800" s="1"/>
      <c r="E800" s="2"/>
      <c r="N800" s="3"/>
    </row>
    <row r="801" spans="2:14" ht="13.5" customHeight="1" x14ac:dyDescent="0.25">
      <c r="B801" s="1"/>
      <c r="E801" s="2"/>
      <c r="N801" s="3"/>
    </row>
    <row r="802" spans="2:14" ht="13.5" customHeight="1" x14ac:dyDescent="0.25">
      <c r="B802" s="1"/>
      <c r="E802" s="2"/>
      <c r="N802" s="3"/>
    </row>
    <row r="803" spans="2:14" ht="13.5" customHeight="1" x14ac:dyDescent="0.25">
      <c r="B803" s="1"/>
      <c r="E803" s="2"/>
      <c r="N803" s="3"/>
    </row>
    <row r="804" spans="2:14" ht="13.5" customHeight="1" x14ac:dyDescent="0.25">
      <c r="B804" s="1"/>
      <c r="E804" s="2"/>
      <c r="N804" s="3"/>
    </row>
    <row r="805" spans="2:14" ht="13.5" customHeight="1" x14ac:dyDescent="0.25">
      <c r="B805" s="1"/>
      <c r="E805" s="2"/>
      <c r="N805" s="3"/>
    </row>
    <row r="806" spans="2:14" ht="13.5" customHeight="1" x14ac:dyDescent="0.25">
      <c r="B806" s="1"/>
      <c r="E806" s="2"/>
      <c r="N806" s="3"/>
    </row>
    <row r="807" spans="2:14" ht="13.5" customHeight="1" x14ac:dyDescent="0.25">
      <c r="B807" s="1"/>
      <c r="E807" s="2"/>
      <c r="N807" s="3"/>
    </row>
    <row r="808" spans="2:14" ht="13.5" customHeight="1" x14ac:dyDescent="0.25">
      <c r="B808" s="1"/>
      <c r="E808" s="2"/>
      <c r="N808" s="3"/>
    </row>
    <row r="809" spans="2:14" ht="13.5" customHeight="1" x14ac:dyDescent="0.25">
      <c r="B809" s="1"/>
      <c r="E809" s="2"/>
      <c r="N809" s="3"/>
    </row>
    <row r="810" spans="2:14" ht="13.5" customHeight="1" x14ac:dyDescent="0.25">
      <c r="B810" s="1"/>
      <c r="E810" s="2"/>
      <c r="N810" s="3"/>
    </row>
    <row r="811" spans="2:14" ht="13.5" customHeight="1" x14ac:dyDescent="0.25">
      <c r="B811" s="1"/>
      <c r="E811" s="2"/>
      <c r="N811" s="3"/>
    </row>
    <row r="812" spans="2:14" ht="13.5" customHeight="1" x14ac:dyDescent="0.25">
      <c r="B812" s="1"/>
      <c r="E812" s="2"/>
      <c r="N812" s="3"/>
    </row>
    <row r="813" spans="2:14" ht="13.5" customHeight="1" x14ac:dyDescent="0.25">
      <c r="B813" s="1"/>
      <c r="E813" s="2"/>
      <c r="N813" s="3"/>
    </row>
    <row r="814" spans="2:14" ht="13.5" customHeight="1" x14ac:dyDescent="0.25">
      <c r="B814" s="1"/>
      <c r="E814" s="2"/>
      <c r="N814" s="3"/>
    </row>
    <row r="815" spans="2:14" ht="13.5" customHeight="1" x14ac:dyDescent="0.25">
      <c r="B815" s="1"/>
      <c r="E815" s="2"/>
      <c r="N815" s="3"/>
    </row>
    <row r="816" spans="2:14" ht="13.5" customHeight="1" x14ac:dyDescent="0.25">
      <c r="B816" s="1"/>
      <c r="E816" s="2"/>
      <c r="N816" s="3"/>
    </row>
    <row r="817" spans="2:14" ht="13.5" customHeight="1" x14ac:dyDescent="0.25">
      <c r="B817" s="1"/>
      <c r="E817" s="2"/>
      <c r="N817" s="3"/>
    </row>
    <row r="818" spans="2:14" ht="13.5" customHeight="1" x14ac:dyDescent="0.25">
      <c r="B818" s="1"/>
      <c r="E818" s="2"/>
      <c r="N818" s="3"/>
    </row>
    <row r="819" spans="2:14" ht="13.5" customHeight="1" x14ac:dyDescent="0.25">
      <c r="B819" s="1"/>
      <c r="E819" s="2"/>
      <c r="N819" s="3"/>
    </row>
    <row r="820" spans="2:14" ht="13.5" customHeight="1" x14ac:dyDescent="0.25">
      <c r="B820" s="1"/>
      <c r="E820" s="2"/>
      <c r="N820" s="3"/>
    </row>
    <row r="821" spans="2:14" ht="13.5" customHeight="1" x14ac:dyDescent="0.25">
      <c r="B821" s="1"/>
      <c r="E821" s="2"/>
      <c r="N821" s="3"/>
    </row>
    <row r="822" spans="2:14" ht="13.5" customHeight="1" x14ac:dyDescent="0.25">
      <c r="B822" s="1"/>
      <c r="E822" s="2"/>
      <c r="N822" s="3"/>
    </row>
    <row r="823" spans="2:14" ht="13.5" customHeight="1" x14ac:dyDescent="0.25">
      <c r="B823" s="1"/>
      <c r="E823" s="2"/>
      <c r="N823" s="3"/>
    </row>
    <row r="824" spans="2:14" ht="13.5" customHeight="1" x14ac:dyDescent="0.25">
      <c r="B824" s="1"/>
      <c r="E824" s="2"/>
      <c r="N824" s="3"/>
    </row>
    <row r="825" spans="2:14" ht="13.5" customHeight="1" x14ac:dyDescent="0.25">
      <c r="B825" s="1"/>
      <c r="E825" s="2"/>
      <c r="N825" s="3"/>
    </row>
    <row r="826" spans="2:14" ht="13.5" customHeight="1" x14ac:dyDescent="0.25">
      <c r="B826" s="1"/>
      <c r="E826" s="2"/>
      <c r="N826" s="3"/>
    </row>
    <row r="827" spans="2:14" ht="13.5" customHeight="1" x14ac:dyDescent="0.25">
      <c r="B827" s="1"/>
      <c r="E827" s="2"/>
      <c r="N827" s="3"/>
    </row>
    <row r="828" spans="2:14" ht="13.5" customHeight="1" x14ac:dyDescent="0.25">
      <c r="B828" s="1"/>
      <c r="E828" s="2"/>
      <c r="N828" s="3"/>
    </row>
    <row r="829" spans="2:14" ht="13.5" customHeight="1" x14ac:dyDescent="0.25">
      <c r="B829" s="1"/>
      <c r="E829" s="2"/>
      <c r="N829" s="3"/>
    </row>
    <row r="830" spans="2:14" ht="13.5" customHeight="1" x14ac:dyDescent="0.25">
      <c r="B830" s="1"/>
      <c r="E830" s="2"/>
      <c r="N830" s="3"/>
    </row>
    <row r="831" spans="2:14" ht="13.5" customHeight="1" x14ac:dyDescent="0.25">
      <c r="B831" s="1"/>
      <c r="E831" s="2"/>
      <c r="N831" s="3"/>
    </row>
    <row r="832" spans="2:14" ht="13.5" customHeight="1" x14ac:dyDescent="0.25">
      <c r="B832" s="1"/>
      <c r="E832" s="2"/>
      <c r="N832" s="3"/>
    </row>
    <row r="833" spans="2:14" ht="13.5" customHeight="1" x14ac:dyDescent="0.25">
      <c r="B833" s="1"/>
      <c r="E833" s="2"/>
      <c r="N833" s="3"/>
    </row>
    <row r="834" spans="2:14" ht="13.5" customHeight="1" x14ac:dyDescent="0.25">
      <c r="B834" s="1"/>
      <c r="E834" s="2"/>
      <c r="N834" s="3"/>
    </row>
    <row r="835" spans="2:14" ht="13.5" customHeight="1" x14ac:dyDescent="0.25">
      <c r="B835" s="1"/>
      <c r="E835" s="2"/>
      <c r="N835" s="3"/>
    </row>
    <row r="836" spans="2:14" ht="13.5" customHeight="1" x14ac:dyDescent="0.25">
      <c r="B836" s="1"/>
      <c r="E836" s="2"/>
      <c r="N836" s="3"/>
    </row>
    <row r="837" spans="2:14" ht="13.5" customHeight="1" x14ac:dyDescent="0.25">
      <c r="B837" s="1"/>
      <c r="E837" s="2"/>
      <c r="N837" s="3"/>
    </row>
    <row r="838" spans="2:14" ht="13.5" customHeight="1" x14ac:dyDescent="0.25">
      <c r="B838" s="1"/>
      <c r="E838" s="2"/>
      <c r="N838" s="3"/>
    </row>
    <row r="839" spans="2:14" ht="13.5" customHeight="1" x14ac:dyDescent="0.25">
      <c r="B839" s="1"/>
      <c r="E839" s="2"/>
      <c r="N839" s="3"/>
    </row>
    <row r="840" spans="2:14" ht="13.5" customHeight="1" x14ac:dyDescent="0.25">
      <c r="B840" s="1"/>
      <c r="E840" s="2"/>
      <c r="N840" s="3"/>
    </row>
    <row r="841" spans="2:14" ht="13.5" customHeight="1" x14ac:dyDescent="0.25">
      <c r="B841" s="1"/>
      <c r="E841" s="2"/>
      <c r="N841" s="3"/>
    </row>
    <row r="842" spans="2:14" ht="13.5" customHeight="1" x14ac:dyDescent="0.25">
      <c r="B842" s="1"/>
      <c r="E842" s="2"/>
      <c r="N842" s="3"/>
    </row>
    <row r="843" spans="2:14" ht="13.5" customHeight="1" x14ac:dyDescent="0.25">
      <c r="B843" s="1"/>
      <c r="E843" s="2"/>
      <c r="N843" s="3"/>
    </row>
    <row r="844" spans="2:14" ht="13.5" customHeight="1" x14ac:dyDescent="0.25">
      <c r="B844" s="1"/>
      <c r="E844" s="2"/>
      <c r="N844" s="3"/>
    </row>
    <row r="845" spans="2:14" ht="13.5" customHeight="1" x14ac:dyDescent="0.25">
      <c r="B845" s="1"/>
      <c r="E845" s="2"/>
      <c r="N845" s="3"/>
    </row>
    <row r="846" spans="2:14" ht="13.5" customHeight="1" x14ac:dyDescent="0.25">
      <c r="B846" s="1"/>
      <c r="E846" s="2"/>
      <c r="N846" s="3"/>
    </row>
    <row r="847" spans="2:14" ht="13.5" customHeight="1" x14ac:dyDescent="0.25">
      <c r="B847" s="1"/>
      <c r="E847" s="2"/>
      <c r="N847" s="3"/>
    </row>
    <row r="848" spans="2:14" ht="13.5" customHeight="1" x14ac:dyDescent="0.25">
      <c r="B848" s="1"/>
      <c r="E848" s="2"/>
      <c r="N848" s="3"/>
    </row>
    <row r="849" spans="2:14" ht="13.5" customHeight="1" x14ac:dyDescent="0.25">
      <c r="B849" s="1"/>
      <c r="E849" s="2"/>
      <c r="N849" s="3"/>
    </row>
    <row r="850" spans="2:14" ht="13.5" customHeight="1" x14ac:dyDescent="0.25">
      <c r="B850" s="1"/>
      <c r="E850" s="2"/>
      <c r="N850" s="3"/>
    </row>
    <row r="851" spans="2:14" ht="13.5" customHeight="1" x14ac:dyDescent="0.25">
      <c r="B851" s="1"/>
      <c r="E851" s="2"/>
      <c r="N851" s="3"/>
    </row>
    <row r="852" spans="2:14" ht="13.5" customHeight="1" x14ac:dyDescent="0.25">
      <c r="B852" s="1"/>
      <c r="E852" s="2"/>
      <c r="N852" s="3"/>
    </row>
    <row r="853" spans="2:14" ht="13.5" customHeight="1" x14ac:dyDescent="0.25">
      <c r="B853" s="1"/>
      <c r="E853" s="2"/>
      <c r="N853" s="3"/>
    </row>
    <row r="854" spans="2:14" ht="13.5" customHeight="1" x14ac:dyDescent="0.25">
      <c r="B854" s="1"/>
      <c r="E854" s="2"/>
      <c r="N854" s="3"/>
    </row>
    <row r="855" spans="2:14" ht="13.5" customHeight="1" x14ac:dyDescent="0.25">
      <c r="B855" s="1"/>
      <c r="E855" s="2"/>
      <c r="N855" s="3"/>
    </row>
    <row r="856" spans="2:14" ht="13.5" customHeight="1" x14ac:dyDescent="0.25">
      <c r="B856" s="1"/>
      <c r="E856" s="2"/>
      <c r="N856" s="3"/>
    </row>
    <row r="857" spans="2:14" ht="13.5" customHeight="1" x14ac:dyDescent="0.25">
      <c r="B857" s="1"/>
      <c r="E857" s="2"/>
      <c r="N857" s="3"/>
    </row>
    <row r="858" spans="2:14" ht="13.5" customHeight="1" x14ac:dyDescent="0.25">
      <c r="B858" s="1"/>
      <c r="E858" s="2"/>
      <c r="N858" s="3"/>
    </row>
    <row r="859" spans="2:14" ht="13.5" customHeight="1" x14ac:dyDescent="0.25">
      <c r="B859" s="1"/>
      <c r="E859" s="2"/>
      <c r="N859" s="3"/>
    </row>
    <row r="860" spans="2:14" ht="13.5" customHeight="1" x14ac:dyDescent="0.25">
      <c r="B860" s="1"/>
      <c r="E860" s="2"/>
      <c r="N860" s="3"/>
    </row>
    <row r="861" spans="2:14" ht="13.5" customHeight="1" x14ac:dyDescent="0.25">
      <c r="B861" s="1"/>
      <c r="E861" s="2"/>
      <c r="N861" s="3"/>
    </row>
    <row r="862" spans="2:14" ht="13.5" customHeight="1" x14ac:dyDescent="0.25">
      <c r="B862" s="1"/>
      <c r="E862" s="2"/>
      <c r="N862" s="3"/>
    </row>
    <row r="863" spans="2:14" ht="13.5" customHeight="1" x14ac:dyDescent="0.25">
      <c r="B863" s="1"/>
      <c r="E863" s="2"/>
      <c r="N863" s="3"/>
    </row>
    <row r="864" spans="2:14" ht="13.5" customHeight="1" x14ac:dyDescent="0.25">
      <c r="B864" s="1"/>
      <c r="E864" s="2"/>
      <c r="N864" s="3"/>
    </row>
    <row r="865" spans="2:14" ht="13.5" customHeight="1" x14ac:dyDescent="0.25">
      <c r="B865" s="1"/>
      <c r="E865" s="2"/>
      <c r="N865" s="3"/>
    </row>
    <row r="866" spans="2:14" ht="13.5" customHeight="1" x14ac:dyDescent="0.25">
      <c r="B866" s="1"/>
      <c r="E866" s="2"/>
      <c r="N866" s="3"/>
    </row>
    <row r="867" spans="2:14" ht="13.5" customHeight="1" x14ac:dyDescent="0.25">
      <c r="B867" s="1"/>
      <c r="E867" s="2"/>
      <c r="N867" s="3"/>
    </row>
    <row r="868" spans="2:14" ht="13.5" customHeight="1" x14ac:dyDescent="0.25">
      <c r="B868" s="1"/>
      <c r="E868" s="2"/>
      <c r="N868" s="3"/>
    </row>
    <row r="869" spans="2:14" ht="13.5" customHeight="1" x14ac:dyDescent="0.25">
      <c r="B869" s="1"/>
      <c r="E869" s="2"/>
      <c r="N869" s="3"/>
    </row>
    <row r="870" spans="2:14" ht="13.5" customHeight="1" x14ac:dyDescent="0.25">
      <c r="B870" s="1"/>
      <c r="E870" s="2"/>
      <c r="N870" s="3"/>
    </row>
    <row r="871" spans="2:14" ht="13.5" customHeight="1" x14ac:dyDescent="0.25">
      <c r="B871" s="1"/>
      <c r="E871" s="2"/>
      <c r="N871" s="3"/>
    </row>
    <row r="872" spans="2:14" ht="13.5" customHeight="1" x14ac:dyDescent="0.25">
      <c r="B872" s="1"/>
      <c r="E872" s="2"/>
      <c r="N872" s="3"/>
    </row>
    <row r="873" spans="2:14" ht="13.5" customHeight="1" x14ac:dyDescent="0.25">
      <c r="B873" s="1"/>
      <c r="E873" s="2"/>
      <c r="N873" s="3"/>
    </row>
    <row r="874" spans="2:14" ht="13.5" customHeight="1" x14ac:dyDescent="0.25">
      <c r="B874" s="1"/>
      <c r="E874" s="2"/>
      <c r="N874" s="3"/>
    </row>
    <row r="875" spans="2:14" ht="13.5" customHeight="1" x14ac:dyDescent="0.25">
      <c r="B875" s="1"/>
      <c r="E875" s="2"/>
      <c r="N875" s="3"/>
    </row>
    <row r="876" spans="2:14" ht="13.5" customHeight="1" x14ac:dyDescent="0.25">
      <c r="B876" s="1"/>
      <c r="E876" s="2"/>
      <c r="N876" s="3"/>
    </row>
    <row r="877" spans="2:14" ht="13.5" customHeight="1" x14ac:dyDescent="0.25">
      <c r="B877" s="1"/>
      <c r="E877" s="2"/>
      <c r="N877" s="3"/>
    </row>
    <row r="878" spans="2:14" ht="13.5" customHeight="1" x14ac:dyDescent="0.25">
      <c r="B878" s="1"/>
      <c r="E878" s="2"/>
      <c r="N878" s="3"/>
    </row>
    <row r="879" spans="2:14" ht="13.5" customHeight="1" x14ac:dyDescent="0.25">
      <c r="B879" s="1"/>
      <c r="E879" s="2"/>
      <c r="N879" s="3"/>
    </row>
    <row r="880" spans="2:14" ht="13.5" customHeight="1" x14ac:dyDescent="0.25">
      <c r="B880" s="1"/>
      <c r="E880" s="2"/>
      <c r="N880" s="3"/>
    </row>
    <row r="881" spans="2:14" ht="13.5" customHeight="1" x14ac:dyDescent="0.25">
      <c r="B881" s="1"/>
      <c r="E881" s="2"/>
      <c r="N881" s="3"/>
    </row>
    <row r="882" spans="2:14" ht="13.5" customHeight="1" x14ac:dyDescent="0.25">
      <c r="B882" s="1"/>
      <c r="E882" s="2"/>
      <c r="N882" s="3"/>
    </row>
    <row r="883" spans="2:14" ht="13.5" customHeight="1" x14ac:dyDescent="0.25">
      <c r="B883" s="1"/>
      <c r="E883" s="2"/>
      <c r="N883" s="3"/>
    </row>
    <row r="884" spans="2:14" ht="13.5" customHeight="1" x14ac:dyDescent="0.25">
      <c r="B884" s="1"/>
      <c r="E884" s="2"/>
      <c r="N884" s="3"/>
    </row>
    <row r="885" spans="2:14" ht="13.5" customHeight="1" x14ac:dyDescent="0.25">
      <c r="B885" s="1"/>
      <c r="E885" s="2"/>
      <c r="N885" s="3"/>
    </row>
    <row r="886" spans="2:14" ht="13.5" customHeight="1" x14ac:dyDescent="0.25">
      <c r="B886" s="1"/>
      <c r="E886" s="2"/>
      <c r="N886" s="3"/>
    </row>
    <row r="887" spans="2:14" ht="13.5" customHeight="1" x14ac:dyDescent="0.25">
      <c r="B887" s="1"/>
      <c r="E887" s="2"/>
      <c r="N887" s="3"/>
    </row>
    <row r="888" spans="2:14" ht="13.5" customHeight="1" x14ac:dyDescent="0.25">
      <c r="B888" s="1"/>
      <c r="E888" s="2"/>
      <c r="N888" s="3"/>
    </row>
    <row r="889" spans="2:14" ht="13.5" customHeight="1" x14ac:dyDescent="0.25">
      <c r="B889" s="1"/>
      <c r="E889" s="2"/>
      <c r="N889" s="3"/>
    </row>
    <row r="890" spans="2:14" ht="13.5" customHeight="1" x14ac:dyDescent="0.25">
      <c r="B890" s="1"/>
      <c r="E890" s="2"/>
      <c r="N890" s="3"/>
    </row>
    <row r="891" spans="2:14" ht="13.5" customHeight="1" x14ac:dyDescent="0.25">
      <c r="B891" s="1"/>
      <c r="E891" s="2"/>
      <c r="N891" s="3"/>
    </row>
    <row r="892" spans="2:14" ht="13.5" customHeight="1" x14ac:dyDescent="0.25">
      <c r="B892" s="1"/>
      <c r="E892" s="2"/>
      <c r="N892" s="3"/>
    </row>
    <row r="893" spans="2:14" ht="13.5" customHeight="1" x14ac:dyDescent="0.25">
      <c r="B893" s="1"/>
      <c r="E893" s="2"/>
      <c r="N893" s="3"/>
    </row>
    <row r="894" spans="2:14" ht="13.5" customHeight="1" x14ac:dyDescent="0.25">
      <c r="B894" s="1"/>
      <c r="E894" s="2"/>
      <c r="N894" s="3"/>
    </row>
    <row r="895" spans="2:14" ht="13.5" customHeight="1" x14ac:dyDescent="0.25">
      <c r="B895" s="1"/>
      <c r="E895" s="2"/>
      <c r="N895" s="3"/>
    </row>
    <row r="896" spans="2:14" ht="13.5" customHeight="1" x14ac:dyDescent="0.25">
      <c r="B896" s="1"/>
      <c r="E896" s="2"/>
      <c r="N896" s="3"/>
    </row>
    <row r="897" spans="2:14" ht="13.5" customHeight="1" x14ac:dyDescent="0.25">
      <c r="B897" s="1"/>
      <c r="E897" s="2"/>
      <c r="N897" s="3"/>
    </row>
    <row r="898" spans="2:14" ht="13.5" customHeight="1" x14ac:dyDescent="0.25">
      <c r="B898" s="1"/>
      <c r="E898" s="2"/>
      <c r="N898" s="3"/>
    </row>
    <row r="899" spans="2:14" ht="13.5" customHeight="1" x14ac:dyDescent="0.25">
      <c r="B899" s="1"/>
      <c r="E899" s="2"/>
      <c r="N899" s="3"/>
    </row>
    <row r="900" spans="2:14" ht="13.5" customHeight="1" x14ac:dyDescent="0.25">
      <c r="B900" s="1"/>
      <c r="E900" s="2"/>
      <c r="N900" s="3"/>
    </row>
    <row r="901" spans="2:14" ht="13.5" customHeight="1" x14ac:dyDescent="0.25">
      <c r="B901" s="1"/>
      <c r="E901" s="2"/>
      <c r="N901" s="3"/>
    </row>
    <row r="902" spans="2:14" ht="13.5" customHeight="1" x14ac:dyDescent="0.25">
      <c r="B902" s="1"/>
      <c r="E902" s="2"/>
      <c r="N902" s="3"/>
    </row>
    <row r="903" spans="2:14" ht="13.5" customHeight="1" x14ac:dyDescent="0.25">
      <c r="B903" s="1"/>
      <c r="E903" s="2"/>
      <c r="N903" s="3"/>
    </row>
    <row r="904" spans="2:14" ht="13.5" customHeight="1" x14ac:dyDescent="0.25">
      <c r="B904" s="1"/>
      <c r="E904" s="2"/>
      <c r="N904" s="3"/>
    </row>
    <row r="905" spans="2:14" ht="13.5" customHeight="1" x14ac:dyDescent="0.25">
      <c r="B905" s="1"/>
      <c r="E905" s="2"/>
      <c r="N905" s="3"/>
    </row>
    <row r="906" spans="2:14" ht="13.5" customHeight="1" x14ac:dyDescent="0.25">
      <c r="B906" s="1"/>
      <c r="E906" s="2"/>
      <c r="N906" s="3"/>
    </row>
    <row r="907" spans="2:14" ht="13.5" customHeight="1" x14ac:dyDescent="0.25">
      <c r="B907" s="1"/>
      <c r="E907" s="2"/>
      <c r="N907" s="3"/>
    </row>
    <row r="908" spans="2:14" ht="13.5" customHeight="1" x14ac:dyDescent="0.25">
      <c r="B908" s="1"/>
      <c r="E908" s="2"/>
      <c r="N908" s="3"/>
    </row>
    <row r="909" spans="2:14" ht="13.5" customHeight="1" x14ac:dyDescent="0.25">
      <c r="B909" s="1"/>
      <c r="E909" s="2"/>
      <c r="N909" s="3"/>
    </row>
    <row r="910" spans="2:14" ht="13.5" customHeight="1" x14ac:dyDescent="0.25">
      <c r="B910" s="1"/>
      <c r="E910" s="2"/>
      <c r="N910" s="3"/>
    </row>
    <row r="911" spans="2:14" ht="13.5" customHeight="1" x14ac:dyDescent="0.25">
      <c r="B911" s="1"/>
      <c r="E911" s="2"/>
      <c r="N911" s="3"/>
    </row>
    <row r="912" spans="2:14" ht="13.5" customHeight="1" x14ac:dyDescent="0.25">
      <c r="B912" s="1"/>
      <c r="E912" s="2"/>
      <c r="N912" s="3"/>
    </row>
    <row r="913" spans="2:14" ht="13.5" customHeight="1" x14ac:dyDescent="0.25">
      <c r="B913" s="1"/>
      <c r="E913" s="2"/>
      <c r="N913" s="3"/>
    </row>
    <row r="914" spans="2:14" ht="13.5" customHeight="1" x14ac:dyDescent="0.25">
      <c r="B914" s="1"/>
      <c r="E914" s="2"/>
      <c r="N914" s="3"/>
    </row>
    <row r="915" spans="2:14" ht="13.5" customHeight="1" x14ac:dyDescent="0.25">
      <c r="B915" s="1"/>
      <c r="E915" s="2"/>
      <c r="N915" s="3"/>
    </row>
    <row r="916" spans="2:14" ht="13.5" customHeight="1" x14ac:dyDescent="0.25">
      <c r="B916" s="1"/>
      <c r="E916" s="2"/>
      <c r="N916" s="3"/>
    </row>
    <row r="917" spans="2:14" ht="13.5" customHeight="1" x14ac:dyDescent="0.25">
      <c r="B917" s="1"/>
      <c r="E917" s="2"/>
      <c r="N917" s="3"/>
    </row>
    <row r="918" spans="2:14" ht="13.5" customHeight="1" x14ac:dyDescent="0.25">
      <c r="B918" s="1"/>
      <c r="E918" s="2"/>
      <c r="N918" s="3"/>
    </row>
    <row r="919" spans="2:14" ht="13.5" customHeight="1" x14ac:dyDescent="0.25">
      <c r="B919" s="1"/>
      <c r="E919" s="2"/>
      <c r="N919" s="3"/>
    </row>
    <row r="920" spans="2:14" ht="13.5" customHeight="1" x14ac:dyDescent="0.25">
      <c r="B920" s="1"/>
      <c r="E920" s="2"/>
      <c r="N920" s="3"/>
    </row>
    <row r="921" spans="2:14" ht="13.5" customHeight="1" x14ac:dyDescent="0.25">
      <c r="B921" s="1"/>
      <c r="E921" s="2"/>
      <c r="N921" s="3"/>
    </row>
    <row r="922" spans="2:14" ht="13.5" customHeight="1" x14ac:dyDescent="0.25">
      <c r="B922" s="1"/>
      <c r="E922" s="2"/>
      <c r="N922" s="3"/>
    </row>
    <row r="923" spans="2:14" ht="13.5" customHeight="1" x14ac:dyDescent="0.25">
      <c r="B923" s="1"/>
      <c r="E923" s="2"/>
      <c r="N923" s="3"/>
    </row>
    <row r="924" spans="2:14" ht="13.5" customHeight="1" x14ac:dyDescent="0.25">
      <c r="B924" s="1"/>
      <c r="E924" s="2"/>
      <c r="N924" s="3"/>
    </row>
    <row r="925" spans="2:14" ht="13.5" customHeight="1" x14ac:dyDescent="0.25">
      <c r="B925" s="1"/>
      <c r="E925" s="2"/>
      <c r="N925" s="3"/>
    </row>
    <row r="926" spans="2:14" ht="13.5" customHeight="1" x14ac:dyDescent="0.25">
      <c r="B926" s="1"/>
      <c r="E926" s="2"/>
      <c r="N926" s="3"/>
    </row>
    <row r="927" spans="2:14" ht="13.5" customHeight="1" x14ac:dyDescent="0.25">
      <c r="B927" s="1"/>
      <c r="E927" s="2"/>
      <c r="N927" s="3"/>
    </row>
    <row r="928" spans="2:14" ht="13.5" customHeight="1" x14ac:dyDescent="0.25">
      <c r="B928" s="1"/>
      <c r="E928" s="2"/>
      <c r="N928" s="3"/>
    </row>
    <row r="929" spans="2:14" ht="13.5" customHeight="1" x14ac:dyDescent="0.25">
      <c r="B929" s="1"/>
      <c r="E929" s="2"/>
      <c r="N929" s="3"/>
    </row>
    <row r="930" spans="2:14" ht="13.5" customHeight="1" x14ac:dyDescent="0.25">
      <c r="B930" s="1"/>
      <c r="E930" s="2"/>
      <c r="N930" s="3"/>
    </row>
    <row r="931" spans="2:14" ht="13.5" customHeight="1" x14ac:dyDescent="0.25">
      <c r="B931" s="1"/>
      <c r="E931" s="2"/>
      <c r="N931" s="3"/>
    </row>
    <row r="932" spans="2:14" ht="13.5" customHeight="1" x14ac:dyDescent="0.25">
      <c r="B932" s="1"/>
      <c r="E932" s="2"/>
      <c r="N932" s="3"/>
    </row>
    <row r="933" spans="2:14" ht="13.5" customHeight="1" x14ac:dyDescent="0.25">
      <c r="B933" s="1"/>
      <c r="E933" s="2"/>
      <c r="N933" s="3"/>
    </row>
    <row r="934" spans="2:14" ht="13.5" customHeight="1" x14ac:dyDescent="0.25">
      <c r="B934" s="1"/>
      <c r="E934" s="2"/>
      <c r="N934" s="3"/>
    </row>
    <row r="935" spans="2:14" ht="13.5" customHeight="1" x14ac:dyDescent="0.25">
      <c r="B935" s="1"/>
      <c r="E935" s="2"/>
      <c r="N935" s="3"/>
    </row>
    <row r="936" spans="2:14" ht="13.5" customHeight="1" x14ac:dyDescent="0.25">
      <c r="B936" s="1"/>
      <c r="E936" s="2"/>
      <c r="N936" s="3"/>
    </row>
    <row r="937" spans="2:14" ht="13.5" customHeight="1" x14ac:dyDescent="0.25">
      <c r="B937" s="1"/>
      <c r="E937" s="2"/>
      <c r="N937" s="3"/>
    </row>
    <row r="938" spans="2:14" ht="13.5" customHeight="1" x14ac:dyDescent="0.25">
      <c r="B938" s="1"/>
      <c r="E938" s="2"/>
      <c r="N938" s="3"/>
    </row>
    <row r="939" spans="2:14" ht="13.5" customHeight="1" x14ac:dyDescent="0.25">
      <c r="B939" s="1"/>
      <c r="E939" s="2"/>
      <c r="N939" s="3"/>
    </row>
    <row r="940" spans="2:14" ht="13.5" customHeight="1" x14ac:dyDescent="0.25">
      <c r="B940" s="1"/>
      <c r="E940" s="2"/>
      <c r="N940" s="3"/>
    </row>
    <row r="941" spans="2:14" ht="13.5" customHeight="1" x14ac:dyDescent="0.25">
      <c r="B941" s="1"/>
      <c r="E941" s="2"/>
      <c r="N941" s="3"/>
    </row>
    <row r="942" spans="2:14" ht="13.5" customHeight="1" x14ac:dyDescent="0.25">
      <c r="B942" s="1"/>
      <c r="E942" s="2"/>
      <c r="N942" s="3"/>
    </row>
    <row r="943" spans="2:14" ht="13.5" customHeight="1" x14ac:dyDescent="0.25">
      <c r="B943" s="1"/>
      <c r="E943" s="2"/>
      <c r="N943" s="3"/>
    </row>
    <row r="944" spans="2:14" ht="13.5" customHeight="1" x14ac:dyDescent="0.25">
      <c r="B944" s="1"/>
      <c r="E944" s="2"/>
      <c r="N944" s="3"/>
    </row>
    <row r="945" spans="2:14" ht="13.5" customHeight="1" x14ac:dyDescent="0.25">
      <c r="B945" s="1"/>
      <c r="E945" s="2"/>
      <c r="N945" s="3"/>
    </row>
    <row r="946" spans="2:14" ht="13.5" customHeight="1" x14ac:dyDescent="0.25">
      <c r="B946" s="1"/>
      <c r="E946" s="2"/>
      <c r="N946" s="3"/>
    </row>
    <row r="947" spans="2:14" ht="13.5" customHeight="1" x14ac:dyDescent="0.25">
      <c r="B947" s="1"/>
      <c r="E947" s="2"/>
      <c r="N947" s="3"/>
    </row>
    <row r="948" spans="2:14" ht="13.5" customHeight="1" x14ac:dyDescent="0.25">
      <c r="B948" s="1"/>
      <c r="E948" s="2"/>
      <c r="N948" s="3"/>
    </row>
    <row r="949" spans="2:14" ht="13.5" customHeight="1" x14ac:dyDescent="0.25">
      <c r="B949" s="1"/>
      <c r="E949" s="2"/>
      <c r="N949" s="3"/>
    </row>
    <row r="950" spans="2:14" ht="13.5" customHeight="1" x14ac:dyDescent="0.25">
      <c r="B950" s="1"/>
      <c r="E950" s="2"/>
      <c r="N950" s="3"/>
    </row>
    <row r="951" spans="2:14" ht="13.5" customHeight="1" x14ac:dyDescent="0.25">
      <c r="B951" s="1"/>
      <c r="E951" s="2"/>
      <c r="N951" s="3"/>
    </row>
    <row r="952" spans="2:14" ht="13.5" customHeight="1" x14ac:dyDescent="0.25">
      <c r="B952" s="1"/>
      <c r="E952" s="2"/>
      <c r="N952" s="3"/>
    </row>
    <row r="953" spans="2:14" ht="13.5" customHeight="1" x14ac:dyDescent="0.25">
      <c r="B953" s="1"/>
      <c r="E953" s="2"/>
      <c r="N953" s="3"/>
    </row>
    <row r="954" spans="2:14" ht="13.5" customHeight="1" x14ac:dyDescent="0.25">
      <c r="B954" s="1"/>
      <c r="E954" s="2"/>
      <c r="N954" s="3"/>
    </row>
    <row r="955" spans="2:14" ht="13.5" customHeight="1" x14ac:dyDescent="0.25">
      <c r="B955" s="1"/>
      <c r="E955" s="2"/>
      <c r="N955" s="3"/>
    </row>
    <row r="956" spans="2:14" ht="13.5" customHeight="1" x14ac:dyDescent="0.25">
      <c r="B956" s="1"/>
      <c r="E956" s="2"/>
      <c r="N956" s="3"/>
    </row>
    <row r="957" spans="2:14" ht="13.5" customHeight="1" x14ac:dyDescent="0.25">
      <c r="B957" s="1"/>
      <c r="E957" s="2"/>
      <c r="N957" s="3"/>
    </row>
    <row r="958" spans="2:14" ht="13.5" customHeight="1" x14ac:dyDescent="0.25">
      <c r="B958" s="1"/>
      <c r="E958" s="2"/>
      <c r="N958" s="3"/>
    </row>
    <row r="959" spans="2:14" ht="13.5" customHeight="1" x14ac:dyDescent="0.25">
      <c r="B959" s="1"/>
      <c r="E959" s="2"/>
      <c r="N959" s="3"/>
    </row>
    <row r="960" spans="2:14" ht="13.5" customHeight="1" x14ac:dyDescent="0.25">
      <c r="B960" s="1"/>
      <c r="E960" s="2"/>
      <c r="N960" s="3"/>
    </row>
    <row r="961" spans="2:14" ht="13.5" customHeight="1" x14ac:dyDescent="0.25">
      <c r="B961" s="1"/>
      <c r="E961" s="2"/>
      <c r="N961" s="3"/>
    </row>
    <row r="962" spans="2:14" ht="13.5" customHeight="1" x14ac:dyDescent="0.25">
      <c r="B962" s="1"/>
      <c r="E962" s="2"/>
      <c r="N962" s="3"/>
    </row>
    <row r="963" spans="2:14" ht="13.5" customHeight="1" x14ac:dyDescent="0.25">
      <c r="B963" s="1"/>
      <c r="E963" s="2"/>
      <c r="N963" s="3"/>
    </row>
    <row r="964" spans="2:14" ht="13.5" customHeight="1" x14ac:dyDescent="0.25">
      <c r="B964" s="1"/>
      <c r="E964" s="2"/>
      <c r="N964" s="3"/>
    </row>
    <row r="965" spans="2:14" ht="13.5" customHeight="1" x14ac:dyDescent="0.25">
      <c r="B965" s="1"/>
      <c r="E965" s="2"/>
      <c r="N965" s="3"/>
    </row>
    <row r="966" spans="2:14" ht="13.5" customHeight="1" x14ac:dyDescent="0.25">
      <c r="B966" s="1"/>
      <c r="E966" s="2"/>
      <c r="N966" s="3"/>
    </row>
    <row r="967" spans="2:14" ht="13.5" customHeight="1" x14ac:dyDescent="0.25">
      <c r="B967" s="1"/>
      <c r="E967" s="2"/>
      <c r="N967" s="3"/>
    </row>
    <row r="968" spans="2:14" ht="13.5" customHeight="1" x14ac:dyDescent="0.25">
      <c r="B968" s="1"/>
      <c r="E968" s="2"/>
      <c r="N968" s="3"/>
    </row>
    <row r="969" spans="2:14" ht="13.5" customHeight="1" x14ac:dyDescent="0.25">
      <c r="B969" s="1"/>
      <c r="E969" s="2"/>
      <c r="N969" s="3"/>
    </row>
    <row r="970" spans="2:14" ht="13.5" customHeight="1" x14ac:dyDescent="0.25">
      <c r="B970" s="1"/>
      <c r="E970" s="2"/>
      <c r="N970" s="3"/>
    </row>
    <row r="971" spans="2:14" ht="13.5" customHeight="1" x14ac:dyDescent="0.25">
      <c r="B971" s="1"/>
      <c r="E971" s="2"/>
      <c r="N971" s="3"/>
    </row>
    <row r="972" spans="2:14" ht="13.5" customHeight="1" x14ac:dyDescent="0.25">
      <c r="B972" s="1"/>
      <c r="E972" s="2"/>
      <c r="N972" s="3"/>
    </row>
    <row r="973" spans="2:14" ht="13.5" customHeight="1" x14ac:dyDescent="0.25">
      <c r="B973" s="1"/>
      <c r="E973" s="2"/>
      <c r="N973" s="3"/>
    </row>
    <row r="974" spans="2:14" ht="13.5" customHeight="1" x14ac:dyDescent="0.25">
      <c r="B974" s="1"/>
      <c r="E974" s="2"/>
      <c r="N974" s="3"/>
    </row>
    <row r="975" spans="2:14" ht="13.5" customHeight="1" x14ac:dyDescent="0.25">
      <c r="B975" s="1"/>
      <c r="E975" s="2"/>
      <c r="N975" s="3"/>
    </row>
    <row r="976" spans="2:14" ht="13.5" customHeight="1" x14ac:dyDescent="0.25">
      <c r="B976" s="1"/>
      <c r="E976" s="2"/>
      <c r="N976" s="3"/>
    </row>
    <row r="977" spans="2:14" ht="13.5" customHeight="1" x14ac:dyDescent="0.25">
      <c r="B977" s="1"/>
      <c r="E977" s="2"/>
      <c r="N977" s="3"/>
    </row>
    <row r="978" spans="2:14" ht="13.5" customHeight="1" x14ac:dyDescent="0.25">
      <c r="B978" s="1"/>
      <c r="E978" s="2"/>
      <c r="N978" s="3"/>
    </row>
    <row r="979" spans="2:14" ht="13.5" customHeight="1" x14ac:dyDescent="0.25">
      <c r="B979" s="1"/>
      <c r="E979" s="2"/>
      <c r="N979" s="3"/>
    </row>
    <row r="980" spans="2:14" ht="13.5" customHeight="1" x14ac:dyDescent="0.25">
      <c r="B980" s="1"/>
      <c r="E980" s="2"/>
      <c r="N980" s="3"/>
    </row>
    <row r="981" spans="2:14" ht="13.5" customHeight="1" x14ac:dyDescent="0.25">
      <c r="B981" s="1"/>
      <c r="E981" s="2"/>
      <c r="N981" s="3"/>
    </row>
    <row r="982" spans="2:14" ht="13.5" customHeight="1" x14ac:dyDescent="0.25">
      <c r="B982" s="1"/>
      <c r="E982" s="2"/>
      <c r="N982" s="3"/>
    </row>
    <row r="983" spans="2:14" ht="13.5" customHeight="1" x14ac:dyDescent="0.25">
      <c r="B983" s="1"/>
      <c r="E983" s="2"/>
      <c r="N983" s="3"/>
    </row>
    <row r="984" spans="2:14" ht="13.5" customHeight="1" x14ac:dyDescent="0.25">
      <c r="B984" s="1"/>
      <c r="E984" s="2"/>
      <c r="N984" s="3"/>
    </row>
    <row r="985" spans="2:14" ht="13.5" customHeight="1" x14ac:dyDescent="0.25">
      <c r="B985" s="1"/>
      <c r="E985" s="2"/>
      <c r="N985" s="3"/>
    </row>
    <row r="986" spans="2:14" ht="13.5" customHeight="1" x14ac:dyDescent="0.25">
      <c r="B986" s="1"/>
      <c r="E986" s="2"/>
      <c r="N986" s="3"/>
    </row>
    <row r="987" spans="2:14" ht="13.5" customHeight="1" x14ac:dyDescent="0.25">
      <c r="B987" s="1"/>
      <c r="E987" s="2"/>
      <c r="N987" s="3"/>
    </row>
    <row r="988" spans="2:14" ht="13.5" customHeight="1" x14ac:dyDescent="0.25">
      <c r="B988" s="1"/>
      <c r="E988" s="2"/>
      <c r="N988" s="3"/>
    </row>
    <row r="989" spans="2:14" ht="13.5" customHeight="1" x14ac:dyDescent="0.25">
      <c r="B989" s="1"/>
      <c r="E989" s="2"/>
      <c r="N989" s="3"/>
    </row>
    <row r="990" spans="2:14" ht="13.5" customHeight="1" x14ac:dyDescent="0.25">
      <c r="B990" s="1"/>
      <c r="E990" s="2"/>
      <c r="N990" s="3"/>
    </row>
    <row r="991" spans="2:14" ht="13.5" customHeight="1" x14ac:dyDescent="0.25">
      <c r="B991" s="1"/>
      <c r="E991" s="2"/>
      <c r="N991" s="3"/>
    </row>
    <row r="992" spans="2:14" ht="13.5" customHeight="1" x14ac:dyDescent="0.25">
      <c r="B992" s="1"/>
      <c r="E992" s="2"/>
      <c r="N992" s="3"/>
    </row>
    <row r="993" spans="2:14" ht="13.5" customHeight="1" x14ac:dyDescent="0.25">
      <c r="B993" s="1"/>
      <c r="E993" s="2"/>
      <c r="N993" s="3"/>
    </row>
    <row r="994" spans="2:14" ht="13.5" customHeight="1" x14ac:dyDescent="0.25">
      <c r="B994" s="1"/>
      <c r="E994" s="2"/>
      <c r="N994" s="3"/>
    </row>
    <row r="995" spans="2:14" ht="13.5" customHeight="1" x14ac:dyDescent="0.25">
      <c r="B995" s="1"/>
      <c r="E995" s="2"/>
      <c r="N995" s="3"/>
    </row>
    <row r="996" spans="2:14" ht="13.5" customHeight="1" x14ac:dyDescent="0.25">
      <c r="B996" s="1"/>
      <c r="E996" s="2"/>
      <c r="N996" s="3"/>
    </row>
    <row r="997" spans="2:14" ht="13.5" customHeight="1" x14ac:dyDescent="0.25">
      <c r="B997" s="1"/>
      <c r="E997" s="2"/>
      <c r="N997" s="3"/>
    </row>
    <row r="998" spans="2:14" ht="13.5" customHeight="1" x14ac:dyDescent="0.25">
      <c r="B998" s="1"/>
      <c r="E998" s="2"/>
      <c r="N998" s="3"/>
    </row>
    <row r="999" spans="2:14" ht="13.5" customHeight="1" x14ac:dyDescent="0.25">
      <c r="B999" s="1"/>
      <c r="E999" s="2"/>
      <c r="N999" s="3"/>
    </row>
    <row r="1000" spans="2:14" ht="13.5" customHeight="1" x14ac:dyDescent="0.25">
      <c r="B1000" s="1"/>
      <c r="E1000" s="2"/>
      <c r="N1000" s="3"/>
    </row>
    <row r="1001" spans="2:14" ht="13.5" customHeight="1" x14ac:dyDescent="0.25">
      <c r="B1001" s="1"/>
      <c r="E1001" s="2"/>
      <c r="N1001" s="3"/>
    </row>
    <row r="1002" spans="2:14" ht="13.5" customHeight="1" x14ac:dyDescent="0.25">
      <c r="B1002" s="1"/>
      <c r="E1002" s="2"/>
      <c r="N1002" s="3"/>
    </row>
    <row r="1003" spans="2:14" ht="13.5" customHeight="1" x14ac:dyDescent="0.25">
      <c r="B1003" s="1"/>
      <c r="E1003" s="2"/>
      <c r="N1003" s="3"/>
    </row>
    <row r="1004" spans="2:14" ht="13.5" customHeight="1" x14ac:dyDescent="0.25">
      <c r="B1004" s="1"/>
      <c r="E1004" s="2"/>
      <c r="N1004" s="3"/>
    </row>
    <row r="1005" spans="2:14" ht="13.5" customHeight="1" x14ac:dyDescent="0.25">
      <c r="B1005" s="1"/>
      <c r="E1005" s="2"/>
      <c r="N1005" s="3"/>
    </row>
    <row r="1006" spans="2:14" ht="13.5" customHeight="1" x14ac:dyDescent="0.25">
      <c r="B1006" s="1"/>
      <c r="E1006" s="2"/>
      <c r="N1006" s="3"/>
    </row>
    <row r="1007" spans="2:14" ht="13.5" customHeight="1" x14ac:dyDescent="0.25">
      <c r="B1007" s="1"/>
      <c r="E1007" s="2"/>
      <c r="N1007" s="3"/>
    </row>
    <row r="1008" spans="2:14" ht="13.5" customHeight="1" x14ac:dyDescent="0.25">
      <c r="B1008" s="1"/>
      <c r="E1008" s="2"/>
      <c r="N1008" s="3"/>
    </row>
    <row r="1009" spans="2:14" ht="13.5" customHeight="1" x14ac:dyDescent="0.25">
      <c r="B1009" s="1"/>
      <c r="E1009" s="2"/>
      <c r="N1009" s="3"/>
    </row>
    <row r="1010" spans="2:14" ht="13.5" customHeight="1" x14ac:dyDescent="0.25">
      <c r="B1010" s="1"/>
      <c r="E1010" s="2"/>
      <c r="N1010" s="3"/>
    </row>
    <row r="1011" spans="2:14" ht="13.5" customHeight="1" x14ac:dyDescent="0.25">
      <c r="B1011" s="1"/>
      <c r="E1011" s="2"/>
      <c r="N1011" s="3"/>
    </row>
    <row r="1012" spans="2:14" ht="13.5" customHeight="1" x14ac:dyDescent="0.25">
      <c r="B1012" s="1"/>
      <c r="E1012" s="2"/>
      <c r="N1012" s="3"/>
    </row>
    <row r="1013" spans="2:14" ht="13.5" customHeight="1" x14ac:dyDescent="0.25">
      <c r="B1013" s="1"/>
      <c r="E1013" s="2"/>
      <c r="N1013" s="3"/>
    </row>
    <row r="1014" spans="2:14" ht="13.5" customHeight="1" x14ac:dyDescent="0.25">
      <c r="B1014" s="1"/>
      <c r="E1014" s="2"/>
      <c r="N1014" s="3"/>
    </row>
    <row r="1015" spans="2:14" ht="13.5" customHeight="1" x14ac:dyDescent="0.25">
      <c r="B1015" s="1"/>
      <c r="E1015" s="2"/>
      <c r="N1015" s="3"/>
    </row>
  </sheetData>
  <mergeCells count="14">
    <mergeCell ref="E66:K66"/>
    <mergeCell ref="A9:C9"/>
    <mergeCell ref="D9:F9"/>
    <mergeCell ref="G61:H61"/>
    <mergeCell ref="A65:B65"/>
    <mergeCell ref="C65:D65"/>
    <mergeCell ref="A52:B52"/>
    <mergeCell ref="A60:B60"/>
    <mergeCell ref="C60:D60"/>
    <mergeCell ref="E60:F60"/>
    <mergeCell ref="G60:H60"/>
    <mergeCell ref="C11:D11"/>
    <mergeCell ref="H11:I11"/>
    <mergeCell ref="E65:K65"/>
  </mergeCells>
  <hyperlinks>
    <hyperlink ref="G10" r:id="rId1" xr:uid="{E7437374-265F-4391-9033-9D07FBFF1265}"/>
  </hyperlinks>
  <pageMargins left="0.17" right="0.17" top="0.75" bottom="0.75" header="0" footer="0"/>
  <pageSetup orientation="portrait" r:id="rId2"/>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8A75D-638D-45C0-9509-BEE218562E8C}">
  <dimension ref="B2:AZ20"/>
  <sheetViews>
    <sheetView tabSelected="1" workbookViewId="0">
      <selection activeCell="F19" sqref="F19"/>
    </sheetView>
  </sheetViews>
  <sheetFormatPr defaultRowHeight="13.8" x14ac:dyDescent="0.25"/>
  <cols>
    <col min="2" max="9" width="12.5" customWidth="1"/>
    <col min="11" max="11" width="13" customWidth="1"/>
    <col min="12" max="12" width="4.796875" customWidth="1"/>
    <col min="13" max="13" width="4.59765625" customWidth="1"/>
    <col min="15" max="16" width="5.19921875" customWidth="1"/>
    <col min="18" max="19" width="5.69921875" customWidth="1"/>
    <col min="22" max="22" width="16.19921875" bestFit="1" customWidth="1"/>
    <col min="37" max="37" width="12.69921875" customWidth="1"/>
    <col min="46" max="46" width="12.5" customWidth="1"/>
    <col min="47" max="47" width="16.3984375" customWidth="1"/>
    <col min="48" max="52" width="11.796875" customWidth="1"/>
  </cols>
  <sheetData>
    <row r="2" spans="2:52" x14ac:dyDescent="0.25">
      <c r="B2" s="132" t="s">
        <v>82</v>
      </c>
      <c r="C2" s="132"/>
      <c r="D2" s="132"/>
      <c r="E2" s="132"/>
      <c r="K2" s="135" t="s">
        <v>99</v>
      </c>
      <c r="L2" s="135"/>
      <c r="M2" s="135"/>
      <c r="N2" s="135"/>
      <c r="O2" s="135"/>
      <c r="P2" s="135"/>
      <c r="U2" s="135" t="s">
        <v>98</v>
      </c>
      <c r="V2" s="135"/>
      <c r="W2" s="135"/>
      <c r="X2" s="135"/>
      <c r="Y2" s="135"/>
      <c r="Z2" s="135"/>
      <c r="AD2" s="135" t="s">
        <v>100</v>
      </c>
      <c r="AE2" s="135"/>
      <c r="AF2" s="135"/>
      <c r="AG2" s="135"/>
      <c r="AH2" s="135"/>
      <c r="AI2" s="135"/>
      <c r="AM2" s="135" t="s">
        <v>107</v>
      </c>
      <c r="AN2" s="135"/>
      <c r="AO2" s="135"/>
      <c r="AP2" s="135"/>
      <c r="AQ2" s="135"/>
      <c r="AR2" s="135"/>
      <c r="AT2" s="135" t="s">
        <v>108</v>
      </c>
      <c r="AU2" s="135"/>
      <c r="AV2" s="135"/>
      <c r="AW2" s="135"/>
      <c r="AX2" s="135"/>
      <c r="AY2" s="135"/>
      <c r="AZ2" s="135"/>
    </row>
    <row r="3" spans="2:52" x14ac:dyDescent="0.25">
      <c r="B3" s="102"/>
      <c r="C3" s="103"/>
      <c r="D3" s="103"/>
      <c r="E3" s="103"/>
    </row>
    <row r="4" spans="2:52" ht="24.6" customHeight="1" x14ac:dyDescent="0.25">
      <c r="B4" s="139" t="s">
        <v>76</v>
      </c>
      <c r="C4" s="139"/>
      <c r="D4" s="139"/>
      <c r="E4" s="139"/>
      <c r="F4" s="139"/>
      <c r="G4" s="139"/>
      <c r="H4" s="139"/>
      <c r="K4" s="105" t="s">
        <v>90</v>
      </c>
      <c r="L4" s="133" t="s">
        <v>86</v>
      </c>
      <c r="M4" s="99"/>
      <c r="O4" s="133" t="s">
        <v>86</v>
      </c>
      <c r="P4" s="99"/>
      <c r="R4" s="133" t="s">
        <v>86</v>
      </c>
      <c r="S4" s="99"/>
      <c r="AD4" s="144" t="s">
        <v>101</v>
      </c>
      <c r="AE4" s="147">
        <v>2000000000</v>
      </c>
      <c r="AF4" s="147"/>
      <c r="AG4" s="147"/>
      <c r="AH4" s="147"/>
      <c r="AI4" s="147"/>
      <c r="AJ4" s="147"/>
      <c r="AK4" s="147"/>
      <c r="AM4" s="111" t="s">
        <v>104</v>
      </c>
      <c r="AN4" s="147">
        <v>500000000</v>
      </c>
      <c r="AO4" s="148"/>
      <c r="AP4" s="148"/>
      <c r="AQ4" s="148"/>
      <c r="AR4" s="148"/>
      <c r="AS4" s="110"/>
    </row>
    <row r="5" spans="2:52" x14ac:dyDescent="0.25">
      <c r="B5" s="100"/>
      <c r="C5" s="100"/>
      <c r="D5" s="100"/>
      <c r="E5" s="100"/>
      <c r="F5" s="100"/>
      <c r="G5" s="100"/>
      <c r="H5" s="100"/>
      <c r="K5" s="106"/>
      <c r="L5" s="134"/>
      <c r="M5" s="99"/>
      <c r="O5" s="134"/>
      <c r="P5" s="99"/>
      <c r="R5" s="134"/>
      <c r="S5" s="99"/>
      <c r="AD5" s="145"/>
      <c r="AE5" s="146">
        <v>150000000</v>
      </c>
      <c r="AF5" s="146"/>
      <c r="AG5" s="146"/>
      <c r="AH5" s="146"/>
      <c r="AM5" s="112"/>
      <c r="AN5" s="113"/>
    </row>
    <row r="6" spans="2:52" x14ac:dyDescent="0.25">
      <c r="B6" s="100">
        <v>1</v>
      </c>
      <c r="C6" s="100">
        <v>2</v>
      </c>
      <c r="D6" s="100">
        <v>3</v>
      </c>
      <c r="E6" s="100">
        <v>4</v>
      </c>
      <c r="F6" s="100">
        <v>5</v>
      </c>
      <c r="G6" s="100">
        <v>6</v>
      </c>
      <c r="H6" s="100">
        <v>7</v>
      </c>
      <c r="K6" s="106"/>
      <c r="L6" s="134"/>
      <c r="M6" s="99"/>
      <c r="O6" s="134"/>
      <c r="P6" s="99"/>
      <c r="R6" s="134"/>
      <c r="S6" s="99"/>
      <c r="AM6" s="111" t="s">
        <v>105</v>
      </c>
      <c r="AN6" s="147">
        <v>400000000</v>
      </c>
      <c r="AO6" s="147"/>
      <c r="AP6" s="147"/>
      <c r="AQ6" s="147"/>
    </row>
    <row r="7" spans="2:52" x14ac:dyDescent="0.25">
      <c r="B7" s="136" t="s">
        <v>78</v>
      </c>
      <c r="C7" s="137"/>
      <c r="D7" s="137"/>
      <c r="E7" s="101" t="s">
        <v>77</v>
      </c>
      <c r="F7" s="100"/>
      <c r="G7" s="100"/>
      <c r="H7" s="100"/>
      <c r="K7" s="105"/>
      <c r="L7" s="134"/>
      <c r="M7" s="99"/>
      <c r="O7" s="134"/>
      <c r="P7" s="99"/>
      <c r="R7" s="134"/>
      <c r="S7" s="99"/>
      <c r="AD7" s="144" t="s">
        <v>102</v>
      </c>
      <c r="AE7" s="147">
        <v>1800000000</v>
      </c>
      <c r="AF7" s="147"/>
      <c r="AG7" s="147"/>
      <c r="AH7" s="147"/>
      <c r="AI7" s="147"/>
      <c r="AJ7" s="147"/>
    </row>
    <row r="8" spans="2:52" x14ac:dyDescent="0.25">
      <c r="B8" s="100"/>
      <c r="C8" s="100"/>
      <c r="D8" s="100"/>
      <c r="E8" s="100"/>
      <c r="F8" s="100"/>
      <c r="G8" s="100"/>
      <c r="H8" s="100"/>
      <c r="K8" s="105" t="s">
        <v>89</v>
      </c>
      <c r="L8" s="134"/>
      <c r="M8" s="99"/>
      <c r="O8" s="134"/>
      <c r="P8" s="99"/>
      <c r="R8" s="134"/>
      <c r="S8" s="99"/>
      <c r="AD8" s="145"/>
      <c r="AE8" s="146">
        <v>130000000</v>
      </c>
      <c r="AF8" s="146"/>
      <c r="AG8" s="146"/>
      <c r="AM8" s="111" t="s">
        <v>106</v>
      </c>
      <c r="AN8" s="147">
        <v>300000000</v>
      </c>
      <c r="AO8" s="147"/>
      <c r="AP8" s="147"/>
    </row>
    <row r="9" spans="2:52" x14ac:dyDescent="0.25">
      <c r="B9" s="100">
        <v>8</v>
      </c>
      <c r="C9" s="100">
        <v>9</v>
      </c>
      <c r="D9" s="100">
        <v>10</v>
      </c>
      <c r="E9" s="100">
        <v>11</v>
      </c>
      <c r="F9" s="100">
        <v>12</v>
      </c>
      <c r="G9" s="100">
        <v>13</v>
      </c>
      <c r="H9" s="100">
        <v>14</v>
      </c>
      <c r="K9" s="105"/>
      <c r="L9" s="134"/>
      <c r="M9" s="99"/>
      <c r="O9" s="134"/>
      <c r="P9" s="99"/>
      <c r="R9" s="134"/>
      <c r="S9" s="99"/>
      <c r="Y9" s="104" t="s">
        <v>96</v>
      </c>
      <c r="AY9" s="104"/>
      <c r="AZ9" s="104" t="s">
        <v>114</v>
      </c>
    </row>
    <row r="10" spans="2:52" x14ac:dyDescent="0.25">
      <c r="B10" s="100"/>
      <c r="C10" s="100"/>
      <c r="D10" s="100"/>
      <c r="E10" s="140" t="s">
        <v>79</v>
      </c>
      <c r="F10" s="141"/>
      <c r="G10" s="142" t="s">
        <v>80</v>
      </c>
      <c r="H10" s="143"/>
      <c r="K10" s="106"/>
      <c r="L10" s="134"/>
      <c r="M10" s="130">
        <v>0.5</v>
      </c>
      <c r="O10" s="134"/>
      <c r="P10" s="130">
        <v>0.5</v>
      </c>
      <c r="R10" s="134"/>
      <c r="S10" s="130">
        <v>0.5</v>
      </c>
      <c r="Y10" s="104" t="s">
        <v>97</v>
      </c>
      <c r="AD10" s="144" t="s">
        <v>103</v>
      </c>
      <c r="AE10" s="147">
        <v>1600000000</v>
      </c>
      <c r="AF10" s="147"/>
      <c r="AG10" s="147"/>
      <c r="AH10" s="147"/>
      <c r="AI10" s="147"/>
      <c r="AY10" s="104"/>
    </row>
    <row r="11" spans="2:52" x14ac:dyDescent="0.25">
      <c r="B11" s="100"/>
      <c r="C11" s="100"/>
      <c r="D11" s="100"/>
      <c r="E11" s="100"/>
      <c r="F11" s="100"/>
      <c r="G11" s="100"/>
      <c r="H11" s="100"/>
      <c r="K11" s="106"/>
      <c r="L11" s="134"/>
      <c r="M11" s="130"/>
      <c r="O11" s="134"/>
      <c r="P11" s="130"/>
      <c r="R11" s="134"/>
      <c r="S11" s="130"/>
      <c r="AD11" s="145"/>
      <c r="AE11" s="146">
        <v>120000000</v>
      </c>
      <c r="AF11" s="146"/>
    </row>
    <row r="12" spans="2:52" x14ac:dyDescent="0.25">
      <c r="B12" s="100">
        <v>15</v>
      </c>
      <c r="C12" s="100">
        <v>16</v>
      </c>
      <c r="D12" s="100">
        <v>17</v>
      </c>
      <c r="E12" s="100">
        <v>18</v>
      </c>
      <c r="F12" s="100">
        <v>19</v>
      </c>
      <c r="G12" s="100">
        <v>20</v>
      </c>
      <c r="H12" s="100">
        <v>21</v>
      </c>
      <c r="K12" s="105" t="s">
        <v>88</v>
      </c>
      <c r="L12" s="134"/>
      <c r="M12" s="130"/>
      <c r="O12" s="134"/>
      <c r="P12" s="130"/>
      <c r="R12" s="134"/>
      <c r="S12" s="130"/>
    </row>
    <row r="13" spans="2:52" x14ac:dyDescent="0.25">
      <c r="B13" s="136" t="s">
        <v>81</v>
      </c>
      <c r="C13" s="137"/>
      <c r="D13" s="137"/>
      <c r="E13" s="138"/>
      <c r="F13" s="100"/>
      <c r="G13" s="100"/>
      <c r="H13" s="100"/>
      <c r="K13" s="106"/>
      <c r="L13" s="134"/>
      <c r="M13" s="130"/>
      <c r="O13" s="134"/>
      <c r="P13" s="130"/>
      <c r="R13" s="134"/>
      <c r="S13" s="130"/>
    </row>
    <row r="14" spans="2:52" x14ac:dyDescent="0.25">
      <c r="B14" s="100"/>
      <c r="C14" s="100"/>
      <c r="D14" s="100"/>
      <c r="E14" s="100"/>
      <c r="F14" s="100"/>
      <c r="G14" s="100"/>
      <c r="H14" s="100"/>
      <c r="K14" s="106"/>
      <c r="L14" s="134"/>
      <c r="M14" s="130"/>
      <c r="O14" s="134"/>
      <c r="P14" s="130"/>
      <c r="R14" s="134"/>
      <c r="S14" s="130"/>
    </row>
    <row r="15" spans="2:52" x14ac:dyDescent="0.25">
      <c r="B15" s="100">
        <v>22</v>
      </c>
      <c r="C15" s="100">
        <v>23</v>
      </c>
      <c r="D15" s="100">
        <v>24</v>
      </c>
      <c r="E15" s="100">
        <v>25</v>
      </c>
      <c r="F15" s="100">
        <v>26</v>
      </c>
      <c r="G15" s="100">
        <v>27</v>
      </c>
      <c r="H15" s="100">
        <v>28</v>
      </c>
      <c r="K15" s="106"/>
      <c r="L15" s="134"/>
      <c r="M15" s="130"/>
      <c r="O15" s="134"/>
      <c r="P15" s="130"/>
      <c r="R15" s="134"/>
      <c r="S15" s="130"/>
      <c r="AU15" s="104" t="s">
        <v>112</v>
      </c>
      <c r="AX15" s="104" t="s">
        <v>113</v>
      </c>
    </row>
    <row r="16" spans="2:52" x14ac:dyDescent="0.25">
      <c r="B16" s="100"/>
      <c r="C16" s="100"/>
      <c r="D16" s="100"/>
      <c r="E16" s="100"/>
      <c r="F16" s="100"/>
      <c r="G16" s="100"/>
      <c r="H16" s="100"/>
      <c r="K16" s="105" t="s">
        <v>87</v>
      </c>
      <c r="L16" s="134"/>
      <c r="M16" s="130"/>
      <c r="O16" s="134"/>
      <c r="P16" s="130"/>
      <c r="R16" s="134"/>
      <c r="S16" s="130"/>
      <c r="U16" s="104" t="s">
        <v>95</v>
      </c>
      <c r="V16" s="107">
        <v>1200000000</v>
      </c>
      <c r="W16" s="109">
        <f>V16/V20</f>
        <v>0.11214953271028037</v>
      </c>
      <c r="AT16" s="104" t="s">
        <v>109</v>
      </c>
      <c r="AU16" s="107">
        <v>2000</v>
      </c>
      <c r="AV16" s="109">
        <f>AU16/AU19</f>
        <v>0.37735849056603776</v>
      </c>
      <c r="AW16" s="104" t="s">
        <v>109</v>
      </c>
      <c r="AX16">
        <v>7000000000</v>
      </c>
      <c r="AY16" s="109">
        <f>AX16/AX19</f>
        <v>0.65420560747663548</v>
      </c>
      <c r="AZ16" s="104"/>
    </row>
    <row r="17" spans="2:52" x14ac:dyDescent="0.25">
      <c r="B17" s="100">
        <v>29</v>
      </c>
      <c r="C17" s="100">
        <v>30</v>
      </c>
      <c r="D17" s="100">
        <v>31</v>
      </c>
      <c r="E17" s="100"/>
      <c r="F17" s="100"/>
      <c r="G17" s="100"/>
      <c r="H17" s="100"/>
      <c r="K17" s="106"/>
      <c r="L17" s="134"/>
      <c r="M17" s="130"/>
      <c r="O17" s="134"/>
      <c r="P17" s="130"/>
      <c r="R17" s="134"/>
      <c r="S17" s="130"/>
      <c r="U17" s="104" t="s">
        <v>92</v>
      </c>
      <c r="V17" s="107">
        <v>5000000000</v>
      </c>
      <c r="W17" s="109">
        <f>V17/V20</f>
        <v>0.46728971962616822</v>
      </c>
      <c r="AT17" s="104" t="s">
        <v>110</v>
      </c>
      <c r="AU17" s="107">
        <v>2500</v>
      </c>
      <c r="AV17" s="109">
        <f>AU17/AU19</f>
        <v>0.47169811320754718</v>
      </c>
      <c r="AW17" s="104" t="s">
        <v>110</v>
      </c>
      <c r="AX17">
        <v>2500000000</v>
      </c>
      <c r="AY17" s="109">
        <f>AX17/AX19</f>
        <v>0.23364485981308411</v>
      </c>
      <c r="AZ17" s="104"/>
    </row>
    <row r="18" spans="2:52" x14ac:dyDescent="0.25">
      <c r="B18" s="100"/>
      <c r="C18" s="100"/>
      <c r="D18" s="100"/>
      <c r="E18" s="100"/>
      <c r="F18" s="100"/>
      <c r="G18" s="100"/>
      <c r="H18" s="100"/>
      <c r="K18" s="106"/>
      <c r="L18" s="134"/>
      <c r="M18" s="130"/>
      <c r="O18" s="134"/>
      <c r="P18" s="130"/>
      <c r="R18" s="134"/>
      <c r="S18" s="130"/>
      <c r="U18" s="104" t="s">
        <v>93</v>
      </c>
      <c r="V18" s="107">
        <v>2500000000</v>
      </c>
      <c r="W18" s="109">
        <f>V18/V20</f>
        <v>0.23364485981308411</v>
      </c>
      <c r="AT18" s="104" t="s">
        <v>111</v>
      </c>
      <c r="AU18" s="107">
        <v>800</v>
      </c>
      <c r="AV18" s="109">
        <f>AU18/AU19</f>
        <v>0.15094339622641509</v>
      </c>
      <c r="AW18" s="104" t="s">
        <v>111</v>
      </c>
      <c r="AX18">
        <v>1200000000</v>
      </c>
      <c r="AY18" s="109">
        <f>AX18/AX19</f>
        <v>0.11214953271028037</v>
      </c>
      <c r="AZ18" s="104"/>
    </row>
    <row r="19" spans="2:52" x14ac:dyDescent="0.25">
      <c r="B19" s="100"/>
      <c r="C19" s="100"/>
      <c r="D19" s="100"/>
      <c r="E19" s="100"/>
      <c r="F19" s="100"/>
      <c r="G19" s="100"/>
      <c r="H19" s="100"/>
      <c r="K19" s="105" t="s">
        <v>91</v>
      </c>
      <c r="L19" s="131" t="s">
        <v>83</v>
      </c>
      <c r="M19" s="131"/>
      <c r="N19" s="104"/>
      <c r="O19" s="131" t="s">
        <v>84</v>
      </c>
      <c r="P19" s="131"/>
      <c r="Q19" s="104"/>
      <c r="R19" s="131" t="s">
        <v>85</v>
      </c>
      <c r="S19" s="131"/>
      <c r="U19" s="104" t="s">
        <v>94</v>
      </c>
      <c r="V19" s="107">
        <v>2000000000</v>
      </c>
      <c r="W19" s="109">
        <f>V19/V20</f>
        <v>0.18691588785046728</v>
      </c>
      <c r="AT19" s="104"/>
      <c r="AU19" s="108">
        <f>SUM(AU15:AU18)</f>
        <v>5300</v>
      </c>
      <c r="AV19" s="109"/>
      <c r="AW19" s="109"/>
      <c r="AX19">
        <f>SUM(AX16:AX18)</f>
        <v>10700000000</v>
      </c>
    </row>
    <row r="20" spans="2:52" x14ac:dyDescent="0.25">
      <c r="V20" s="108">
        <f>SUM(V16:V19)</f>
        <v>10700000000</v>
      </c>
      <c r="AU20" s="108"/>
    </row>
  </sheetData>
  <mergeCells count="32">
    <mergeCell ref="AT2:AZ2"/>
    <mergeCell ref="AE4:AK4"/>
    <mergeCell ref="AE7:AJ7"/>
    <mergeCell ref="AE10:AI10"/>
    <mergeCell ref="AE5:AH5"/>
    <mergeCell ref="AE11:AF11"/>
    <mergeCell ref="AN8:AP8"/>
    <mergeCell ref="AD10:AD11"/>
    <mergeCell ref="AM2:AR2"/>
    <mergeCell ref="AN4:AR4"/>
    <mergeCell ref="AN6:AQ6"/>
    <mergeCell ref="U2:Z2"/>
    <mergeCell ref="AD2:AI2"/>
    <mergeCell ref="AD4:AD5"/>
    <mergeCell ref="AD7:AD8"/>
    <mergeCell ref="AE8:AG8"/>
    <mergeCell ref="S10:S18"/>
    <mergeCell ref="R19:S19"/>
    <mergeCell ref="B2:E2"/>
    <mergeCell ref="M10:M18"/>
    <mergeCell ref="L4:L18"/>
    <mergeCell ref="K2:P2"/>
    <mergeCell ref="B13:E13"/>
    <mergeCell ref="B4:H4"/>
    <mergeCell ref="B7:D7"/>
    <mergeCell ref="E10:F10"/>
    <mergeCell ref="G10:H10"/>
    <mergeCell ref="L19:M19"/>
    <mergeCell ref="O4:O18"/>
    <mergeCell ref="P10:P18"/>
    <mergeCell ref="O19:P19"/>
    <mergeCell ref="R4:R18"/>
  </mergeCells>
  <phoneticPr fontId="18" type="noConversion"/>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DỰ TOÁN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2006-09-16T00:00:00Z</dcterms:created>
  <dcterms:modified xsi:type="dcterms:W3CDTF">2026-08-19T08:35:20Z</dcterms:modified>
</cp:coreProperties>
</file>